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Products" sheetId="3" state="visible" r:id="rId3"/>
    <sheet name="Generic pressure" sheetId="4" state="visible" r:id="rId4"/>
    <sheet name="Reference pricing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53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vertical="top" wrapText="1"/>
    </xf>
    <xf numFmtId="4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roducts" displayName="Products" ref="A1:O339" headerRowCount="1">
  <autoFilter ref="A1:O339"/>
  <tableColumns count="15">
    <tableColumn id="1" name="Class"/>
    <tableColumn id="2" name="Class name"/>
    <tableColumn id="3" name="Ingredient"/>
    <tableColumn id="4" name="Trade name"/>
    <tableColumn id="5" name="Strength"/>
    <tableColumn id="6" name="Unit"/>
    <tableColumn id="7" name="Form"/>
    <tableColumn id="8" name="Pack size"/>
    <tableColumn id="9" name="Price SAR"/>
    <tableColumn id="10" name="Price per unit SAR"/>
    <tableColumn id="11" name="Price per unit USD"/>
    <tableColumn id="12" name="Role"/>
    <tableColumn id="13" name="Marketing company"/>
    <tableColumn id="14" name="Local agent"/>
    <tableColumn id="15" name="Registration no.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GCC Market Report: Saudi Arabia</t>
        </is>
      </c>
    </row>
    <row r="2">
      <c r="A2" t="inlineStr">
        <is>
          <t>Snapshot of the SFDA public Drugs List taken 2026-10-18: 8,207 products; 338 followed in the classes MSD competes in.</t>
        </is>
      </c>
    </row>
    <row r="3">
      <c r="A3" t="inlineStr">
        <is>
          <t>Yellow cells are inputs. Everything else is a formula over the Products sheet: paste next month's products there and the pack recalculates.</t>
        </is>
      </c>
    </row>
    <row r="4">
      <c r="A4" t="inlineStr">
        <is>
          <t>Price per unit = public pack price / pack size (a tablet, capsule, vial or pen). The riyal is pegged to the dollar; the rate is an input.</t>
        </is>
      </c>
    </row>
    <row r="5">
      <c r="A5" t="inlineStr">
        <is>
          <t>US prices are the pharmacy acquisition cost (NADAC) per tablet, from Drug Price Watch; they are not net prices.</t>
        </is>
      </c>
    </row>
    <row r="6">
      <c r="A6" t="inlineStr">
        <is>
          <t>An independent analysis of public data, not produced or endorsed by MSD or any company named.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2" t="inlineStr">
        <is>
          <t>Saudi riyals per US dollar</t>
        </is>
      </c>
      <c r="B1" s="3" t="n">
        <v>3.75</v>
      </c>
    </row>
    <row r="2">
      <c r="A2" t="inlineStr">
        <is>
          <t>Change the yellow cell; every USD figure follows.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44" customWidth="1" min="4" max="4"/>
    <col width="14" customWidth="1" min="5" max="5"/>
    <col width="8" customWidth="1" min="6" max="6"/>
    <col width="26" customWidth="1" min="7" max="7"/>
    <col width="9" customWidth="1" min="8" max="8"/>
    <col width="12" customWidth="1" min="9" max="9"/>
    <col width="12" customWidth="1" min="10" max="10"/>
    <col width="12" customWidth="1" min="11" max="11"/>
    <col width="16" customWidth="1" min="12" max="12"/>
    <col width="36" customWidth="1" min="13" max="13"/>
    <col width="36" customWidth="1" min="14" max="14"/>
    <col width="14" customWidth="1" min="15" max="15"/>
  </cols>
  <sheetData>
    <row r="1">
      <c r="A1" s="4" t="inlineStr">
        <is>
          <t>Class</t>
        </is>
      </c>
      <c r="B1" s="4" t="inlineStr">
        <is>
          <t>Class name</t>
        </is>
      </c>
      <c r="C1" s="4" t="inlineStr">
        <is>
          <t>Ingredient</t>
        </is>
      </c>
      <c r="D1" s="4" t="inlineStr">
        <is>
          <t>Trade name</t>
        </is>
      </c>
      <c r="E1" s="4" t="inlineStr">
        <is>
          <t>Strength</t>
        </is>
      </c>
      <c r="F1" s="4" t="inlineStr">
        <is>
          <t>Unit</t>
        </is>
      </c>
      <c r="G1" s="4" t="inlineStr">
        <is>
          <t>Form</t>
        </is>
      </c>
      <c r="H1" s="4" t="inlineStr">
        <is>
          <t>Pack size</t>
        </is>
      </c>
      <c r="I1" s="4" t="inlineStr">
        <is>
          <t>Price SAR</t>
        </is>
      </c>
      <c r="J1" s="4" t="inlineStr">
        <is>
          <t>Price per unit SAR</t>
        </is>
      </c>
      <c r="K1" s="4" t="inlineStr">
        <is>
          <t>Price per unit USD</t>
        </is>
      </c>
      <c r="L1" s="4" t="inlineStr">
        <is>
          <t>Role</t>
        </is>
      </c>
      <c r="M1" s="4" t="inlineStr">
        <is>
          <t>Marketing company</t>
        </is>
      </c>
      <c r="N1" s="4" t="inlineStr">
        <is>
          <t>Local agent</t>
        </is>
      </c>
      <c r="O1" s="4" t="inlineStr">
        <is>
          <t>Registration no.</t>
        </is>
      </c>
    </row>
    <row r="2">
      <c r="A2" t="inlineStr"/>
      <c r="B2" t="inlineStr"/>
      <c r="C2" t="inlineStr">
        <is>
          <t>LINAGLIPTIN</t>
        </is>
      </c>
      <c r="D2" t="inlineStr">
        <is>
          <t>OLPUNTRAMET</t>
        </is>
      </c>
      <c r="E2" t="inlineStr">
        <is>
          <t>850,2.5</t>
        </is>
      </c>
      <c r="F2" t="inlineStr">
        <is>
          <t>mg</t>
        </is>
      </c>
      <c r="G2" t="inlineStr">
        <is>
          <t>Film-coated tablet</t>
        </is>
      </c>
      <c r="H2" t="n">
        <v>60</v>
      </c>
      <c r="I2" t="n">
        <v>123.3</v>
      </c>
      <c r="J2" s="5">
        <f>IF(H2&gt;0,I2/H2,"")</f>
        <v/>
      </c>
      <c r="K2" s="5">
        <f>IF(J2="","",J2/Inputs!$B$1)</f>
        <v/>
      </c>
      <c r="L2" t="inlineStr">
        <is>
          <t>Generic or other</t>
        </is>
      </c>
      <c r="M2" t="inlineStr">
        <is>
          <t>ALPHA PHARMA INDUSTRY</t>
        </is>
      </c>
      <c r="N2" t="inlineStr">
        <is>
          <t>Alpha Pharma Industry</t>
        </is>
      </c>
      <c r="O2" t="inlineStr">
        <is>
          <t>1105269639</t>
        </is>
      </c>
    </row>
    <row r="3">
      <c r="A3" t="inlineStr"/>
      <c r="B3" t="inlineStr"/>
      <c r="C3" t="inlineStr">
        <is>
          <t>LINAGLIPTIN</t>
        </is>
      </c>
      <c r="D3" t="inlineStr">
        <is>
          <t>OLPUNTRAMET</t>
        </is>
      </c>
      <c r="E3" t="inlineStr">
        <is>
          <t>1000,25</t>
        </is>
      </c>
      <c r="F3" t="inlineStr">
        <is>
          <t>mg</t>
        </is>
      </c>
      <c r="G3" t="inlineStr">
        <is>
          <t>Film-coated tablet</t>
        </is>
      </c>
      <c r="H3" t="n">
        <v>60</v>
      </c>
      <c r="I3" t="n">
        <v>130.9</v>
      </c>
      <c r="J3" s="5">
        <f>IF(H3&gt;0,I3/H3,"")</f>
        <v/>
      </c>
      <c r="K3" s="5">
        <f>IF(J3="","",J3/Inputs!$B$1)</f>
        <v/>
      </c>
      <c r="L3" t="inlineStr">
        <is>
          <t>Generic or other</t>
        </is>
      </c>
      <c r="M3" t="inlineStr">
        <is>
          <t>ALPHA PHARMA INDUSTRY</t>
        </is>
      </c>
      <c r="N3" t="inlineStr">
        <is>
          <t>Alpha Pharma Industry</t>
        </is>
      </c>
      <c r="O3" t="inlineStr">
        <is>
          <t>1105269640</t>
        </is>
      </c>
    </row>
    <row r="4">
      <c r="A4" t="inlineStr">
        <is>
          <t>A01BX</t>
        </is>
      </c>
      <c r="B4" t="inlineStr"/>
      <c r="C4" t="inlineStr">
        <is>
          <t>CANAGLIFLOZIN</t>
        </is>
      </c>
      <c r="D4" t="inlineStr">
        <is>
          <t>INVOKANA 100 mg film-coated tablet</t>
        </is>
      </c>
      <c r="E4" t="inlineStr">
        <is>
          <t>100</t>
        </is>
      </c>
      <c r="F4" t="inlineStr">
        <is>
          <t>mg</t>
        </is>
      </c>
      <c r="G4" t="inlineStr">
        <is>
          <t>Film-coated tablet</t>
        </is>
      </c>
      <c r="H4" t="n">
        <v>30</v>
      </c>
      <c r="I4" t="n">
        <v>159</v>
      </c>
      <c r="J4" s="5">
        <f>IF(H4&gt;0,I4/H4,"")</f>
        <v/>
      </c>
      <c r="K4" s="5">
        <f>IF(J4="","",J4/Inputs!$B$1)</f>
        <v/>
      </c>
      <c r="L4" t="inlineStr">
        <is>
          <t>Originator</t>
        </is>
      </c>
      <c r="M4" t="inlineStr">
        <is>
          <t>JANSSEN PHARMACEUTICA N.V</t>
        </is>
      </c>
      <c r="N4" t="inlineStr">
        <is>
          <t>Farouk, Maamoun Tamer &amp; CO</t>
        </is>
      </c>
      <c r="O4" t="inlineStr">
        <is>
          <t>0703221821</t>
        </is>
      </c>
    </row>
    <row r="5">
      <c r="A5" t="inlineStr">
        <is>
          <t>A01BX</t>
        </is>
      </c>
      <c r="B5" t="inlineStr"/>
      <c r="C5" t="inlineStr">
        <is>
          <t>CANAGLIFLOZIN</t>
        </is>
      </c>
      <c r="D5" t="inlineStr">
        <is>
          <t>INVOKANA 300 mg film-coated tablet</t>
        </is>
      </c>
      <c r="E5" t="inlineStr">
        <is>
          <t>300</t>
        </is>
      </c>
      <c r="F5" t="inlineStr">
        <is>
          <t>mg</t>
        </is>
      </c>
      <c r="G5" t="inlineStr">
        <is>
          <t>Film-coated tablet</t>
        </is>
      </c>
      <c r="H5" t="n">
        <v>30</v>
      </c>
      <c r="I5" t="n">
        <v>159</v>
      </c>
      <c r="J5" s="5">
        <f>IF(H5&gt;0,I5/H5,"")</f>
        <v/>
      </c>
      <c r="K5" s="5">
        <f>IF(J5="","",J5/Inputs!$B$1)</f>
        <v/>
      </c>
      <c r="L5" t="inlineStr">
        <is>
          <t>Originator</t>
        </is>
      </c>
      <c r="M5" t="inlineStr">
        <is>
          <t>JANSSEN PHARMACEUTICA N.V</t>
        </is>
      </c>
      <c r="N5" t="inlineStr">
        <is>
          <t>Farouk, Maamoun Tamer &amp; CO</t>
        </is>
      </c>
      <c r="O5" t="inlineStr">
        <is>
          <t>2106222241</t>
        </is>
      </c>
    </row>
    <row r="6">
      <c r="A6" t="inlineStr">
        <is>
          <t>A02BC</t>
        </is>
      </c>
      <c r="B6" t="inlineStr"/>
      <c r="C6" t="inlineStr">
        <is>
          <t>SITAGLIPTIN</t>
        </is>
      </c>
      <c r="D6" t="inlineStr">
        <is>
          <t>GLIPTEN 100MG F.C. TABLET</t>
        </is>
      </c>
      <c r="E6" t="inlineStr">
        <is>
          <t>100</t>
        </is>
      </c>
      <c r="F6" t="inlineStr">
        <is>
          <t>mg</t>
        </is>
      </c>
      <c r="G6" t="inlineStr">
        <is>
          <t>Gastro-resistant tablet</t>
        </is>
      </c>
      <c r="H6" t="n">
        <v>15</v>
      </c>
      <c r="I6" t="n">
        <v>98.2</v>
      </c>
      <c r="J6" s="5">
        <f>IF(H6&gt;0,I6/H6,"")</f>
        <v/>
      </c>
      <c r="K6" s="5">
        <f>IF(J6="","",J6/Inputs!$B$1)</f>
        <v/>
      </c>
      <c r="L6" t="inlineStr">
        <is>
          <t>Generic or other</t>
        </is>
      </c>
      <c r="M6" t="inlineStr">
        <is>
          <t>ACINO PHARMA AG</t>
        </is>
      </c>
      <c r="N6" t="inlineStr">
        <is>
          <t>Cigalah GroupAcino Arabia for trading LLC</t>
        </is>
      </c>
      <c r="O6" t="inlineStr">
        <is>
          <t>2801256767</t>
        </is>
      </c>
    </row>
    <row r="7">
      <c r="A7" t="inlineStr">
        <is>
          <t>A04AA</t>
        </is>
      </c>
      <c r="B7" t="inlineStr"/>
      <c r="C7" t="inlineStr">
        <is>
          <t>NETUPITANT</t>
        </is>
      </c>
      <c r="D7" t="inlineStr">
        <is>
          <t>AKYNZEO 300 mg/0.5 mg hard capsules</t>
        </is>
      </c>
      <c r="E7" t="inlineStr">
        <is>
          <t>300,0.5</t>
        </is>
      </c>
      <c r="F7" t="inlineStr">
        <is>
          <t>mg</t>
        </is>
      </c>
      <c r="G7" t="inlineStr">
        <is>
          <t>Capsule, hard</t>
        </is>
      </c>
      <c r="H7" t="n">
        <v>1</v>
      </c>
      <c r="I7" t="n">
        <v>306.7</v>
      </c>
      <c r="J7" s="5">
        <f>IF(H7&gt;0,I7/H7,"")</f>
        <v/>
      </c>
      <c r="K7" s="5">
        <f>IF(J7="","",J7/Inputs!$B$1)</f>
        <v/>
      </c>
      <c r="L7" t="inlineStr">
        <is>
          <t>Originator</t>
        </is>
      </c>
      <c r="M7" t="inlineStr">
        <is>
          <t>Helsinn Birex Pharmaceuticals Ltd</t>
        </is>
      </c>
      <c r="N7" t="inlineStr">
        <is>
          <t>Cigalah Group</t>
        </is>
      </c>
      <c r="O7" t="inlineStr">
        <is>
          <t>1303257068</t>
        </is>
      </c>
    </row>
    <row r="8">
      <c r="A8" t="inlineStr">
        <is>
          <t>A04AD</t>
        </is>
      </c>
      <c r="B8" t="inlineStr">
        <is>
          <t>Other antiemetics</t>
        </is>
      </c>
      <c r="C8" t="inlineStr">
        <is>
          <t>APREPITANT</t>
        </is>
      </c>
      <c r="D8" t="inlineStr">
        <is>
          <t>ENEVOM 80 MG CAPSULE</t>
        </is>
      </c>
      <c r="E8" t="inlineStr">
        <is>
          <t>80</t>
        </is>
      </c>
      <c r="F8" t="inlineStr">
        <is>
          <t>mg</t>
        </is>
      </c>
      <c r="G8" t="inlineStr">
        <is>
          <t>Capsule, hard</t>
        </is>
      </c>
      <c r="H8" t="n">
        <v>1</v>
      </c>
      <c r="I8" t="n">
        <v>79.05</v>
      </c>
      <c r="J8" s="5">
        <f>IF(H8&gt;0,I8/H8,"")</f>
        <v/>
      </c>
      <c r="K8" s="5">
        <f>IF(J8="","",J8/Inputs!$B$1)</f>
        <v/>
      </c>
      <c r="L8" t="inlineStr">
        <is>
          <t>Generic or other</t>
        </is>
      </c>
      <c r="M8" t="inlineStr">
        <is>
          <t>MS PHARMA for Pharmaceuticals</t>
        </is>
      </c>
      <c r="N8" t="inlineStr">
        <is>
          <t>Cigalah Group</t>
        </is>
      </c>
      <c r="O8" t="inlineStr">
        <is>
          <t>3004257315</t>
        </is>
      </c>
    </row>
    <row r="9">
      <c r="A9" t="inlineStr">
        <is>
          <t>A04AD</t>
        </is>
      </c>
      <c r="B9" t="inlineStr">
        <is>
          <t>Other antiemetics</t>
        </is>
      </c>
      <c r="C9" t="inlineStr">
        <is>
          <t>APREPITANT</t>
        </is>
      </c>
      <c r="D9" t="inlineStr">
        <is>
          <t>ENEVOM 125 MG CAPSULE</t>
        </is>
      </c>
      <c r="E9" t="inlineStr">
        <is>
          <t>125</t>
        </is>
      </c>
      <c r="F9" t="inlineStr">
        <is>
          <t>mg</t>
        </is>
      </c>
      <c r="G9" t="inlineStr">
        <is>
          <t>Capsule, hard</t>
        </is>
      </c>
      <c r="H9" t="n">
        <v>1</v>
      </c>
      <c r="I9" t="n">
        <v>79.05</v>
      </c>
      <c r="J9" s="5">
        <f>IF(H9&gt;0,I9/H9,"")</f>
        <v/>
      </c>
      <c r="K9" s="5">
        <f>IF(J9="","",J9/Inputs!$B$1)</f>
        <v/>
      </c>
      <c r="L9" t="inlineStr">
        <is>
          <t>Generic or other</t>
        </is>
      </c>
      <c r="M9" t="inlineStr">
        <is>
          <t>MS PHARMA for Pharmaceuticals</t>
        </is>
      </c>
      <c r="N9" t="inlineStr">
        <is>
          <t>Cigalah Group</t>
        </is>
      </c>
      <c r="O9" t="inlineStr">
        <is>
          <t>3004257316</t>
        </is>
      </c>
    </row>
    <row r="10">
      <c r="A10" t="inlineStr">
        <is>
          <t>A04AD</t>
        </is>
      </c>
      <c r="B10" t="inlineStr">
        <is>
          <t>Other antiemetics</t>
        </is>
      </c>
      <c r="C10" t="inlineStr">
        <is>
          <t>APREPITANT</t>
        </is>
      </c>
      <c r="D10" t="inlineStr">
        <is>
          <t>Fosaprepitant SPC</t>
        </is>
      </c>
      <c r="E10" t="inlineStr">
        <is>
          <t>150</t>
        </is>
      </c>
      <c r="F10" t="inlineStr">
        <is>
          <t>mg</t>
        </is>
      </c>
      <c r="G10" t="inlineStr">
        <is>
          <t>powder for solution for injection</t>
        </is>
      </c>
      <c r="H10" t="n">
        <v>1</v>
      </c>
      <c r="I10" t="n">
        <v>200</v>
      </c>
      <c r="J10" s="5">
        <f>IF(H10&gt;0,I10/H10,"")</f>
        <v/>
      </c>
      <c r="K10" s="5">
        <f>IF(J10="","",J10/Inputs!$B$1)</f>
        <v/>
      </c>
      <c r="L10" t="inlineStr">
        <is>
          <t>Generic or other</t>
        </is>
      </c>
      <c r="M10" t="inlineStr">
        <is>
          <t>SUDAIR PHARMA COMPANY</t>
        </is>
      </c>
      <c r="N10" t="inlineStr">
        <is>
          <t>SUDAIR PHARMA COMPANY</t>
        </is>
      </c>
      <c r="O10" t="inlineStr">
        <is>
          <t>0902210504</t>
        </is>
      </c>
    </row>
    <row r="11">
      <c r="A11" t="inlineStr">
        <is>
          <t>A07AA</t>
        </is>
      </c>
      <c r="B11" t="inlineStr">
        <is>
          <t>Intestinal anti-infectives</t>
        </is>
      </c>
      <c r="C11" t="inlineStr">
        <is>
          <t>FIDAXOMICIN</t>
        </is>
      </c>
      <c r="D11" t="inlineStr">
        <is>
          <t>DIFICLIR 200 mg Film Coated Tablet</t>
        </is>
      </c>
      <c r="E11" t="inlineStr">
        <is>
          <t>200</t>
        </is>
      </c>
      <c r="F11" t="inlineStr">
        <is>
          <t>mg</t>
        </is>
      </c>
      <c r="G11" t="inlineStr">
        <is>
          <t>Film-coated tablet</t>
        </is>
      </c>
      <c r="H11" t="n">
        <v>20</v>
      </c>
      <c r="I11" t="n">
        <v>5677.5</v>
      </c>
      <c r="J11" s="5">
        <f>IF(H11&gt;0,I11/H11,"")</f>
        <v/>
      </c>
      <c r="K11" s="5">
        <f>IF(J11="","",J11/Inputs!$B$1)</f>
        <v/>
      </c>
      <c r="L11" t="inlineStr">
        <is>
          <t>Originator</t>
        </is>
      </c>
      <c r="M11" t="inlineStr">
        <is>
          <t>Tillotts Pharma GmbH</t>
        </is>
      </c>
      <c r="N11" t="inlineStr">
        <is>
          <t>ALHAYA MEDICAL CO</t>
        </is>
      </c>
      <c r="O11" t="inlineStr">
        <is>
          <t>0305233586</t>
        </is>
      </c>
    </row>
    <row r="12">
      <c r="A12" t="inlineStr">
        <is>
          <t>A07CA</t>
        </is>
      </c>
      <c r="B12" t="inlineStr"/>
      <c r="C12" t="inlineStr">
        <is>
          <t>LINAGLIPTIN</t>
        </is>
      </c>
      <c r="D12" t="inlineStr">
        <is>
          <t>GLYXAMBI</t>
        </is>
      </c>
      <c r="E12" t="inlineStr">
        <is>
          <t>10,5</t>
        </is>
      </c>
      <c r="F12" t="inlineStr">
        <is>
          <t>g</t>
        </is>
      </c>
      <c r="G12" t="inlineStr">
        <is>
          <t>Powder for oral solution in sachet</t>
        </is>
      </c>
      <c r="H12" t="n">
        <v>10</v>
      </c>
      <c r="I12" t="n">
        <v>226.05</v>
      </c>
      <c r="J12" s="5">
        <f>IF(H12&gt;0,I12/H12,"")</f>
        <v/>
      </c>
      <c r="K12" s="5">
        <f>IF(J12="","",J12/Inputs!$B$1)</f>
        <v/>
      </c>
      <c r="L12" t="inlineStr">
        <is>
          <t>Generic or other</t>
        </is>
      </c>
      <c r="M12" t="inlineStr">
        <is>
          <t>National Pharmaceutical Industries Co SAOC</t>
        </is>
      </c>
      <c r="N12" t="inlineStr">
        <is>
          <t>ZIMMO TRADING ESTABLISHMENTEBRAHIM M. ALMANA &amp; BROS. CO.</t>
        </is>
      </c>
      <c r="O12" t="inlineStr">
        <is>
          <t>2710246117</t>
        </is>
      </c>
    </row>
    <row r="13">
      <c r="A13" t="inlineStr">
        <is>
          <t>A07CA</t>
        </is>
      </c>
      <c r="B13" t="inlineStr"/>
      <c r="C13" t="inlineStr">
        <is>
          <t>VILDAGLIPTIN</t>
        </is>
      </c>
      <c r="D13" t="inlineStr">
        <is>
          <t>VILTIN 50 MG TABLET</t>
        </is>
      </c>
      <c r="E13" t="inlineStr">
        <is>
          <t>50</t>
        </is>
      </c>
      <c r="F13" t="inlineStr">
        <is>
          <t>g</t>
        </is>
      </c>
      <c r="G13" t="inlineStr">
        <is>
          <t>Powder for oral solution in sachet</t>
        </is>
      </c>
      <c r="H13" t="n">
        <v>50</v>
      </c>
      <c r="I13" t="n">
        <v>66.5</v>
      </c>
      <c r="J13" s="5">
        <f>IF(H13&gt;0,I13/H13,"")</f>
        <v/>
      </c>
      <c r="K13" s="5">
        <f>IF(J13="","",J13/Inputs!$B$1)</f>
        <v/>
      </c>
      <c r="L13" t="inlineStr">
        <is>
          <t>Generic or other</t>
        </is>
      </c>
      <c r="M13" t="inlineStr">
        <is>
          <t>National Pharmaceutical Industries Co SAOC</t>
        </is>
      </c>
      <c r="N13" t="inlineStr">
        <is>
          <t>ZIMMO TRADING ESTABLISHMENTEBRAHIM M. ALMANA &amp; BROS. CO.</t>
        </is>
      </c>
      <c r="O13" t="inlineStr">
        <is>
          <t>0406269864</t>
        </is>
      </c>
    </row>
    <row r="14">
      <c r="A14" t="inlineStr">
        <is>
          <t>A10BA</t>
        </is>
      </c>
      <c r="B14" t="inlineStr"/>
      <c r="C14" t="inlineStr">
        <is>
          <t>SITAGLIPTIN</t>
        </is>
      </c>
      <c r="D14" t="inlineStr">
        <is>
          <t>Glycimille</t>
        </is>
      </c>
      <c r="E14" t="inlineStr">
        <is>
          <t>850/50</t>
        </is>
      </c>
      <c r="F14" t="inlineStr">
        <is>
          <t>mg</t>
        </is>
      </c>
      <c r="G14" t="inlineStr">
        <is>
          <t>Film-coated tablet</t>
        </is>
      </c>
      <c r="H14" t="n">
        <v>60</v>
      </c>
      <c r="I14" t="n">
        <v>90.59999999999999</v>
      </c>
      <c r="J14" s="5">
        <f>IF(H14&gt;0,I14/H14,"")</f>
        <v/>
      </c>
      <c r="K14" s="5">
        <f>IF(J14="","",J14/Inputs!$B$1)</f>
        <v/>
      </c>
      <c r="L14" t="inlineStr">
        <is>
          <t>Generic or other</t>
        </is>
      </c>
      <c r="M14" t="inlineStr">
        <is>
          <t>Pharco International pharmaceutical company</t>
        </is>
      </c>
      <c r="N14" t="inlineStr">
        <is>
          <t>Pharco International pharmaceutical companyCigalah Group</t>
        </is>
      </c>
      <c r="O14" t="inlineStr">
        <is>
          <t>1506257555</t>
        </is>
      </c>
    </row>
    <row r="15">
      <c r="A15" t="inlineStr">
        <is>
          <t>A10BA</t>
        </is>
      </c>
      <c r="B15" t="inlineStr"/>
      <c r="C15" t="inlineStr">
        <is>
          <t>SITAGLIPTIN</t>
        </is>
      </c>
      <c r="D15" t="inlineStr">
        <is>
          <t>Glycimille</t>
        </is>
      </c>
      <c r="E15" t="inlineStr">
        <is>
          <t>1000,50</t>
        </is>
      </c>
      <c r="F15" t="inlineStr">
        <is>
          <t>mg</t>
        </is>
      </c>
      <c r="G15" t="inlineStr">
        <is>
          <t>Film-coated tablet</t>
        </is>
      </c>
      <c r="H15" t="n">
        <v>60</v>
      </c>
      <c r="I15" t="n">
        <v>93.84999999999999</v>
      </c>
      <c r="J15" s="5">
        <f>IF(H15&gt;0,I15/H15,"")</f>
        <v/>
      </c>
      <c r="K15" s="5">
        <f>IF(J15="","",J15/Inputs!$B$1)</f>
        <v/>
      </c>
      <c r="L15" t="inlineStr">
        <is>
          <t>Generic or other</t>
        </is>
      </c>
      <c r="M15" t="inlineStr">
        <is>
          <t>Pharco International pharmaceutical company</t>
        </is>
      </c>
      <c r="N15" t="inlineStr">
        <is>
          <t>Pharco International pharmaceutical companyCigalah Group</t>
        </is>
      </c>
      <c r="O15" t="inlineStr">
        <is>
          <t>1202269140</t>
        </is>
      </c>
    </row>
    <row r="16">
      <c r="A16" t="inlineStr">
        <is>
          <t>A10BA</t>
        </is>
      </c>
      <c r="B16" t="inlineStr"/>
      <c r="C16" t="inlineStr">
        <is>
          <t>SITAGLIPTIN</t>
        </is>
      </c>
      <c r="D16" t="inlineStr">
        <is>
          <t>Xitamet</t>
        </is>
      </c>
      <c r="E16" t="inlineStr">
        <is>
          <t>850,50</t>
        </is>
      </c>
      <c r="F16" t="inlineStr">
        <is>
          <t>mg</t>
        </is>
      </c>
      <c r="G16" t="inlineStr">
        <is>
          <t>Film-coated tablet</t>
        </is>
      </c>
      <c r="H16" t="n">
        <v>56</v>
      </c>
      <c r="I16" t="n">
        <v>88</v>
      </c>
      <c r="J16" s="5">
        <f>IF(H16&gt;0,I16/H16,"")</f>
        <v/>
      </c>
      <c r="K16" s="5">
        <f>IF(J16="","",J16/Inputs!$B$1)</f>
        <v/>
      </c>
      <c r="L16" t="inlineStr">
        <is>
          <t>Generic or other</t>
        </is>
      </c>
      <c r="M16" t="inlineStr">
        <is>
          <t>AJA PHARMACEUTICAL INDUSTRIES</t>
        </is>
      </c>
      <c r="N16" t="inlineStr">
        <is>
          <t>AJA PHARMACEUTICAL INDUSTRIES</t>
        </is>
      </c>
      <c r="O16" t="inlineStr">
        <is>
          <t>0306257537</t>
        </is>
      </c>
    </row>
    <row r="17">
      <c r="A17" t="inlineStr">
        <is>
          <t>A10BA</t>
        </is>
      </c>
      <c r="B17" t="inlineStr"/>
      <c r="C17" t="inlineStr">
        <is>
          <t>SITAGLIPTIN</t>
        </is>
      </c>
      <c r="D17" t="inlineStr">
        <is>
          <t>Sitagliptin/Metformin Cooper</t>
        </is>
      </c>
      <c r="E17" t="inlineStr">
        <is>
          <t>850,50</t>
        </is>
      </c>
      <c r="F17" t="inlineStr">
        <is>
          <t>mg</t>
        </is>
      </c>
      <c r="G17" t="inlineStr">
        <is>
          <t>Film-coated tablet</t>
        </is>
      </c>
      <c r="H17" t="n">
        <v>60</v>
      </c>
      <c r="I17" t="n">
        <v>94.3</v>
      </c>
      <c r="J17" s="5">
        <f>IF(H17&gt;0,I17/H17,"")</f>
        <v/>
      </c>
      <c r="K17" s="5">
        <f>IF(J17="","",J17/Inputs!$B$1)</f>
        <v/>
      </c>
      <c r="L17" t="inlineStr">
        <is>
          <t>Generic or other</t>
        </is>
      </c>
      <c r="M17" t="inlineStr">
        <is>
          <t>Cooper Pharma Arabia</t>
        </is>
      </c>
      <c r="N17" t="inlineStr">
        <is>
          <t>ARAC HEALTHCARE</t>
        </is>
      </c>
      <c r="O17" t="inlineStr">
        <is>
          <t>2811258675</t>
        </is>
      </c>
    </row>
    <row r="18">
      <c r="A18" t="inlineStr">
        <is>
          <t>A10BA</t>
        </is>
      </c>
      <c r="B18" t="inlineStr"/>
      <c r="C18" t="inlineStr">
        <is>
          <t>SITAGLIPTIN</t>
        </is>
      </c>
      <c r="D18" t="inlineStr">
        <is>
          <t>SITagliptin - MetFORMIN Cooper</t>
        </is>
      </c>
      <c r="E18" t="inlineStr">
        <is>
          <t>1000,50</t>
        </is>
      </c>
      <c r="F18" t="inlineStr">
        <is>
          <t>mg</t>
        </is>
      </c>
      <c r="G18" t="inlineStr">
        <is>
          <t>Film-coated tablet</t>
        </is>
      </c>
      <c r="H18" t="n">
        <v>60</v>
      </c>
      <c r="I18" t="n">
        <v>97.7</v>
      </c>
      <c r="J18" s="5">
        <f>IF(H18&gt;0,I18/H18,"")</f>
        <v/>
      </c>
      <c r="K18" s="5">
        <f>IF(J18="","",J18/Inputs!$B$1)</f>
        <v/>
      </c>
      <c r="L18" t="inlineStr">
        <is>
          <t>Generic or other</t>
        </is>
      </c>
      <c r="M18" t="inlineStr">
        <is>
          <t>Cooper Pharma Arabia</t>
        </is>
      </c>
      <c r="N18" t="inlineStr">
        <is>
          <t>ARAC HEALTHCARE</t>
        </is>
      </c>
      <c r="O18" t="inlineStr">
        <is>
          <t>1002269116</t>
        </is>
      </c>
    </row>
    <row r="19">
      <c r="A19" t="inlineStr">
        <is>
          <t>A10BA</t>
        </is>
      </c>
      <c r="B19" t="inlineStr"/>
      <c r="C19" t="inlineStr">
        <is>
          <t>SITAGLIPTIN</t>
        </is>
      </c>
      <c r="D19" t="inlineStr">
        <is>
          <t>Xitamet</t>
        </is>
      </c>
      <c r="E19" t="inlineStr">
        <is>
          <t>1000,50</t>
        </is>
      </c>
      <c r="F19" t="inlineStr">
        <is>
          <t>mg</t>
        </is>
      </c>
      <c r="G19" t="inlineStr">
        <is>
          <t>Film-coated tablet</t>
        </is>
      </c>
      <c r="H19" t="n">
        <v>56</v>
      </c>
      <c r="I19" t="n">
        <v>91.2</v>
      </c>
      <c r="J19" s="5">
        <f>IF(H19&gt;0,I19/H19,"")</f>
        <v/>
      </c>
      <c r="K19" s="5">
        <f>IF(J19="","",J19/Inputs!$B$1)</f>
        <v/>
      </c>
      <c r="L19" t="inlineStr">
        <is>
          <t>Generic or other</t>
        </is>
      </c>
      <c r="M19" t="inlineStr">
        <is>
          <t>AJA PHARMACEUTICAL INDUSTRIES</t>
        </is>
      </c>
      <c r="N19" t="inlineStr">
        <is>
          <t>AJA PHARMACEUTICAL INDUSTRIES</t>
        </is>
      </c>
      <c r="O19" t="inlineStr">
        <is>
          <t>0306257538</t>
        </is>
      </c>
    </row>
    <row r="20">
      <c r="A20" t="inlineStr">
        <is>
          <t>A10BA</t>
        </is>
      </c>
      <c r="B20" t="inlineStr"/>
      <c r="C20" t="inlineStr">
        <is>
          <t>SITAGLIPTIN</t>
        </is>
      </c>
      <c r="D20" t="inlineStr">
        <is>
          <t>Sitavic XR</t>
        </is>
      </c>
      <c r="E20" t="inlineStr">
        <is>
          <t>1000,100</t>
        </is>
      </c>
      <c r="F20" t="inlineStr">
        <is>
          <t>mg</t>
        </is>
      </c>
      <c r="G20" t="inlineStr">
        <is>
          <t>Modified-release film-coated tablet</t>
        </is>
      </c>
      <c r="H20" t="n">
        <v>30</v>
      </c>
      <c r="I20" t="n">
        <v>126.5</v>
      </c>
      <c r="J20" s="5">
        <f>IF(H20&gt;0,I20/H20,"")</f>
        <v/>
      </c>
      <c r="K20" s="5">
        <f>IF(J20="","",J20/Inputs!$B$1)</f>
        <v/>
      </c>
      <c r="L20" t="inlineStr">
        <is>
          <t>Generic or other</t>
        </is>
      </c>
      <c r="M20" t="inlineStr">
        <is>
          <t>Jamjoom Pharmaceuticals Factory Company</t>
        </is>
      </c>
      <c r="N20" t="inlineStr">
        <is>
          <t>JAMJOOM PHARMACEUTICALS CO. LTD.</t>
        </is>
      </c>
      <c r="O20" t="inlineStr">
        <is>
          <t>1904269457</t>
        </is>
      </c>
    </row>
    <row r="21">
      <c r="A21" t="inlineStr">
        <is>
          <t>A10BD</t>
        </is>
      </c>
      <c r="B21" t="inlineStr">
        <is>
          <t>Diabetes combinations</t>
        </is>
      </c>
      <c r="C21" t="inlineStr">
        <is>
          <t>ALOGLIPTIN</t>
        </is>
      </c>
      <c r="D21" t="inlineStr">
        <is>
          <t>VIPDOMET 12.5 mg/500 mg TABLETS</t>
        </is>
      </c>
      <c r="E21" t="inlineStr">
        <is>
          <t>500,12.5</t>
        </is>
      </c>
      <c r="F21" t="inlineStr">
        <is>
          <t>mg</t>
        </is>
      </c>
      <c r="G21" t="inlineStr">
        <is>
          <t>Film-coated tablet</t>
        </is>
      </c>
      <c r="H21" t="n">
        <v>56</v>
      </c>
      <c r="I21" t="n">
        <v>109.9</v>
      </c>
      <c r="J21" s="5">
        <f>IF(H21&gt;0,I21/H21,"")</f>
        <v/>
      </c>
      <c r="K21" s="5">
        <f>IF(J21="","",J21/Inputs!$B$1)</f>
        <v/>
      </c>
      <c r="L21" t="inlineStr">
        <is>
          <t>Originator</t>
        </is>
      </c>
      <c r="M21" t="inlineStr">
        <is>
          <t>Jazeera Pharmaceutical Industries (JPI)</t>
        </is>
      </c>
      <c r="N21" t="inlineStr">
        <is>
          <t>Abdulrehman Algosaibi G.T.C.</t>
        </is>
      </c>
      <c r="O21" t="inlineStr">
        <is>
          <t>2201233131</t>
        </is>
      </c>
    </row>
    <row r="22">
      <c r="A22" t="inlineStr">
        <is>
          <t>A10BD</t>
        </is>
      </c>
      <c r="B22" t="inlineStr">
        <is>
          <t>Diabetes combinations</t>
        </is>
      </c>
      <c r="C22" t="inlineStr">
        <is>
          <t>ALOGLIPTIN</t>
        </is>
      </c>
      <c r="D22" t="inlineStr">
        <is>
          <t>VIPDOMET 12.5 mg/1000 mg TABLETS</t>
        </is>
      </c>
      <c r="E22" t="inlineStr">
        <is>
          <t>1000,12.5</t>
        </is>
      </c>
      <c r="F22" t="inlineStr">
        <is>
          <t>mg</t>
        </is>
      </c>
      <c r="G22" t="inlineStr">
        <is>
          <t>Film-coated tablet</t>
        </is>
      </c>
      <c r="H22" t="n">
        <v>56</v>
      </c>
      <c r="I22" t="n">
        <v>117.45</v>
      </c>
      <c r="J22" s="5">
        <f>IF(H22&gt;0,I22/H22,"")</f>
        <v/>
      </c>
      <c r="K22" s="5">
        <f>IF(J22="","",J22/Inputs!$B$1)</f>
        <v/>
      </c>
      <c r="L22" t="inlineStr">
        <is>
          <t>Originator</t>
        </is>
      </c>
      <c r="M22" t="inlineStr">
        <is>
          <t>Jazeera Pharmaceutical Industries (JPI)</t>
        </is>
      </c>
      <c r="N22" t="inlineStr">
        <is>
          <t>Abdulrehman Algosaibi G.T.C.</t>
        </is>
      </c>
      <c r="O22" t="inlineStr">
        <is>
          <t>2201233133</t>
        </is>
      </c>
    </row>
    <row r="23">
      <c r="A23" t="inlineStr">
        <is>
          <t>A10BD</t>
        </is>
      </c>
      <c r="B23" t="inlineStr">
        <is>
          <t>Diabetes combinations</t>
        </is>
      </c>
      <c r="C23" t="inlineStr">
        <is>
          <t>ALOGLIPTIN</t>
        </is>
      </c>
      <c r="D23" t="inlineStr">
        <is>
          <t>INCRESYNC 25/15 mg Tablet</t>
        </is>
      </c>
      <c r="E23" t="inlineStr">
        <is>
          <t>25,15</t>
        </is>
      </c>
      <c r="F23" t="inlineStr">
        <is>
          <t>mg</t>
        </is>
      </c>
      <c r="G23" t="inlineStr">
        <is>
          <t>Tablet</t>
        </is>
      </c>
      <c r="H23" t="n">
        <v>28</v>
      </c>
      <c r="I23" t="n">
        <v>137.6</v>
      </c>
      <c r="J23" s="5">
        <f>IF(H23&gt;0,I23/H23,"")</f>
        <v/>
      </c>
      <c r="K23" s="5">
        <f>IF(J23="","",J23/Inputs!$B$1)</f>
        <v/>
      </c>
      <c r="L23" t="inlineStr">
        <is>
          <t>Generic or other</t>
        </is>
      </c>
      <c r="M23" t="inlineStr">
        <is>
          <t>Jazeera Pharmaceutical Industries (JPI)</t>
        </is>
      </c>
      <c r="N23" t="inlineStr">
        <is>
          <t>Abdulrehman Algosaibi G.T.C.</t>
        </is>
      </c>
      <c r="O23" t="inlineStr">
        <is>
          <t>0603245026</t>
        </is>
      </c>
    </row>
    <row r="24">
      <c r="A24" t="inlineStr">
        <is>
          <t>A10BD</t>
        </is>
      </c>
      <c r="B24" t="inlineStr">
        <is>
          <t>Diabetes combinations</t>
        </is>
      </c>
      <c r="C24" t="inlineStr">
        <is>
          <t>ALOGLIPTIN</t>
        </is>
      </c>
      <c r="D24" t="inlineStr">
        <is>
          <t>CYERO 25/15 mg Tablet</t>
        </is>
      </c>
      <c r="E24" t="inlineStr">
        <is>
          <t>25,15</t>
        </is>
      </c>
      <c r="F24" t="inlineStr">
        <is>
          <t>mg</t>
        </is>
      </c>
      <c r="G24" t="inlineStr">
        <is>
          <t>Film-coated tablet</t>
        </is>
      </c>
      <c r="H24" t="n">
        <v>28</v>
      </c>
      <c r="I24" t="n">
        <v>137.6</v>
      </c>
      <c r="J24" s="5">
        <f>IF(H24&gt;0,I24/H24,"")</f>
        <v/>
      </c>
      <c r="K24" s="5">
        <f>IF(J24="","",J24/Inputs!$B$1)</f>
        <v/>
      </c>
      <c r="L24" t="inlineStr">
        <is>
          <t>Generic or other</t>
        </is>
      </c>
      <c r="M24" t="inlineStr">
        <is>
          <t>BATTERJEE PHARMACETICAL FACTORY</t>
        </is>
      </c>
      <c r="N24" t="inlineStr">
        <is>
          <t>BATTERJEE PHARMACEUTICAL FACTORY</t>
        </is>
      </c>
      <c r="O24" t="inlineStr">
        <is>
          <t>2705257465</t>
        </is>
      </c>
    </row>
    <row r="25">
      <c r="A25" t="inlineStr">
        <is>
          <t>A10BD</t>
        </is>
      </c>
      <c r="B25" t="inlineStr">
        <is>
          <t>Diabetes combinations</t>
        </is>
      </c>
      <c r="C25" t="inlineStr">
        <is>
          <t>ALOGLIPTIN</t>
        </is>
      </c>
      <c r="D25" t="inlineStr">
        <is>
          <t>INCRESYNC 25/30 mg Tablet</t>
        </is>
      </c>
      <c r="E25" t="inlineStr">
        <is>
          <t>25,30</t>
        </is>
      </c>
      <c r="F25" t="inlineStr">
        <is>
          <t>mg</t>
        </is>
      </c>
      <c r="G25" t="inlineStr">
        <is>
          <t>Tablet</t>
        </is>
      </c>
      <c r="H25" t="n">
        <v>28</v>
      </c>
      <c r="I25" t="n">
        <v>159.75</v>
      </c>
      <c r="J25" s="5">
        <f>IF(H25&gt;0,I25/H25,"")</f>
        <v/>
      </c>
      <c r="K25" s="5">
        <f>IF(J25="","",J25/Inputs!$B$1)</f>
        <v/>
      </c>
      <c r="L25" t="inlineStr">
        <is>
          <t>Generic or other</t>
        </is>
      </c>
      <c r="M25" t="inlineStr">
        <is>
          <t>Jazeera Pharmaceutical Industries (JPI)</t>
        </is>
      </c>
      <c r="N25" t="inlineStr">
        <is>
          <t>Abdulrehman Algosaibi G.T.C.</t>
        </is>
      </c>
      <c r="O25" t="inlineStr">
        <is>
          <t>0603245025</t>
        </is>
      </c>
    </row>
    <row r="26">
      <c r="A26" t="inlineStr">
        <is>
          <t>A10BD</t>
        </is>
      </c>
      <c r="B26" t="inlineStr">
        <is>
          <t>Diabetes combinations</t>
        </is>
      </c>
      <c r="C26" t="inlineStr">
        <is>
          <t>ALOGLIPTIN</t>
        </is>
      </c>
      <c r="D26" t="inlineStr">
        <is>
          <t>CYERO 25/30 mg Tablet</t>
        </is>
      </c>
      <c r="E26" t="inlineStr">
        <is>
          <t>25,30</t>
        </is>
      </c>
      <c r="F26" t="inlineStr">
        <is>
          <t>mg</t>
        </is>
      </c>
      <c r="G26" t="inlineStr">
        <is>
          <t>Film-coated tablet</t>
        </is>
      </c>
      <c r="H26" t="n">
        <v>28</v>
      </c>
      <c r="I26" t="n">
        <v>159.75</v>
      </c>
      <c r="J26" s="5">
        <f>IF(H26&gt;0,I26/H26,"")</f>
        <v/>
      </c>
      <c r="K26" s="5">
        <f>IF(J26="","",J26/Inputs!$B$1)</f>
        <v/>
      </c>
      <c r="L26" t="inlineStr">
        <is>
          <t>Generic or other</t>
        </is>
      </c>
      <c r="M26" t="inlineStr">
        <is>
          <t>BATTERJEE PHARMACETICAL FACTORY</t>
        </is>
      </c>
      <c r="N26" t="inlineStr">
        <is>
          <t>BATTERJEE PHARMACEUTICAL FACTORY</t>
        </is>
      </c>
      <c r="O26" t="inlineStr">
        <is>
          <t>2705257466</t>
        </is>
      </c>
    </row>
    <row r="27">
      <c r="A27" t="inlineStr">
        <is>
          <t>A10BD</t>
        </is>
      </c>
      <c r="B27" t="inlineStr">
        <is>
          <t>Diabetes combinations</t>
        </is>
      </c>
      <c r="C27" t="inlineStr">
        <is>
          <t>DAPAGLIFLOZIN</t>
        </is>
      </c>
      <c r="D27" t="inlineStr">
        <is>
          <t>Depaxamet</t>
        </is>
      </c>
      <c r="E27" t="inlineStr">
        <is>
          <t>5,1000</t>
        </is>
      </c>
      <c r="F27" t="inlineStr">
        <is>
          <t>mg</t>
        </is>
      </c>
      <c r="G27" t="inlineStr">
        <is>
          <t>Film-coated tablet</t>
        </is>
      </c>
      <c r="H27" t="n">
        <v>30</v>
      </c>
      <c r="I27" t="n">
        <v>54.85</v>
      </c>
      <c r="J27" s="5">
        <f>IF(H27&gt;0,I27/H27,"")</f>
        <v/>
      </c>
      <c r="K27" s="5">
        <f>IF(J27="","",J27/Inputs!$B$1)</f>
        <v/>
      </c>
      <c r="L27" t="inlineStr">
        <is>
          <t>Generic or other</t>
        </is>
      </c>
      <c r="M27" t="inlineStr">
        <is>
          <t>Pharco International pharmaceutical company</t>
        </is>
      </c>
      <c r="N27" t="inlineStr">
        <is>
          <t>Pharco International pharmaceutical companyCigalah Group</t>
        </is>
      </c>
      <c r="O27" t="inlineStr">
        <is>
          <t>2704269537</t>
        </is>
      </c>
    </row>
    <row r="28">
      <c r="A28" t="inlineStr">
        <is>
          <t>A10BD</t>
        </is>
      </c>
      <c r="B28" t="inlineStr">
        <is>
          <t>Diabetes combinations</t>
        </is>
      </c>
      <c r="C28" t="inlineStr">
        <is>
          <t>DAPAGLIFLOZIN</t>
        </is>
      </c>
      <c r="D28" t="inlineStr">
        <is>
          <t>Depaxamet</t>
        </is>
      </c>
      <c r="E28" t="inlineStr">
        <is>
          <t>5,500</t>
        </is>
      </c>
      <c r="F28" t="inlineStr">
        <is>
          <t>mg</t>
        </is>
      </c>
      <c r="G28" t="inlineStr">
        <is>
          <t>Film-coated tablet</t>
        </is>
      </c>
      <c r="H28" t="n">
        <v>30</v>
      </c>
      <c r="I28" t="n">
        <v>54.85</v>
      </c>
      <c r="J28" s="5">
        <f>IF(H28&gt;0,I28/H28,"")</f>
        <v/>
      </c>
      <c r="K28" s="5">
        <f>IF(J28="","",J28/Inputs!$B$1)</f>
        <v/>
      </c>
      <c r="L28" t="inlineStr">
        <is>
          <t>Generic or other</t>
        </is>
      </c>
      <c r="M28" t="inlineStr">
        <is>
          <t>Pharco International pharmaceutical company</t>
        </is>
      </c>
      <c r="N28" t="inlineStr">
        <is>
          <t>Pharco International pharmaceutical companyCigalah Group</t>
        </is>
      </c>
      <c r="O28" t="inlineStr">
        <is>
          <t>2704269535</t>
        </is>
      </c>
    </row>
    <row r="29">
      <c r="A29" t="inlineStr">
        <is>
          <t>A10BD</t>
        </is>
      </c>
      <c r="B29" t="inlineStr">
        <is>
          <t>Diabetes combinations</t>
        </is>
      </c>
      <c r="C29" t="inlineStr">
        <is>
          <t>DAPAGLIFLOZIN</t>
        </is>
      </c>
      <c r="D29" t="inlineStr">
        <is>
          <t>Dapazin Met XR</t>
        </is>
      </c>
      <c r="E29" t="inlineStr">
        <is>
          <t>5,1000</t>
        </is>
      </c>
      <c r="F29" t="inlineStr">
        <is>
          <t>mg</t>
        </is>
      </c>
      <c r="G29" t="inlineStr">
        <is>
          <t>Modified-release film-coated tablet</t>
        </is>
      </c>
      <c r="H29" t="n">
        <v>28</v>
      </c>
      <c r="I29" t="n">
        <v>51.2</v>
      </c>
      <c r="J29" s="5">
        <f>IF(H29&gt;0,I29/H29,"")</f>
        <v/>
      </c>
      <c r="K29" s="5">
        <f>IF(J29="","",J29/Inputs!$B$1)</f>
        <v/>
      </c>
      <c r="L29" t="inlineStr">
        <is>
          <t>Generic or other</t>
        </is>
      </c>
      <c r="M29" t="inlineStr">
        <is>
          <t>Jamjoom Pharmaceuticals Factory Company</t>
        </is>
      </c>
      <c r="N29" t="inlineStr">
        <is>
          <t>JAMJOOM PHARMACEUTICALS CO. LTD.</t>
        </is>
      </c>
      <c r="O29" t="inlineStr">
        <is>
          <t>0110260613</t>
        </is>
      </c>
    </row>
    <row r="30">
      <c r="A30" t="inlineStr">
        <is>
          <t>A10BD</t>
        </is>
      </c>
      <c r="B30" t="inlineStr">
        <is>
          <t>Diabetes combinations</t>
        </is>
      </c>
      <c r="C30" t="inlineStr">
        <is>
          <t>DAPAGLIFLOZIN</t>
        </is>
      </c>
      <c r="D30" t="inlineStr">
        <is>
          <t>Divinusmet</t>
        </is>
      </c>
      <c r="E30" t="inlineStr">
        <is>
          <t>1000,5</t>
        </is>
      </c>
      <c r="F30" t="inlineStr">
        <is>
          <t>mg</t>
        </is>
      </c>
      <c r="G30" t="inlineStr">
        <is>
          <t>Film-coated tablet</t>
        </is>
      </c>
      <c r="H30" t="n">
        <v>60</v>
      </c>
      <c r="I30" t="n">
        <v>119.4</v>
      </c>
      <c r="J30" s="5">
        <f>IF(H30&gt;0,I30/H30,"")</f>
        <v/>
      </c>
      <c r="K30" s="5">
        <f>IF(J30="","",J30/Inputs!$B$1)</f>
        <v/>
      </c>
      <c r="L30" t="inlineStr">
        <is>
          <t>Generic or other</t>
        </is>
      </c>
      <c r="M30" t="inlineStr">
        <is>
          <t>Jazeera Pharmaceutical Industries (JPI)</t>
        </is>
      </c>
      <c r="N30" t="inlineStr">
        <is>
          <t>Jazeera Pharmaceutical Industries (JPI)</t>
        </is>
      </c>
      <c r="O30" t="inlineStr">
        <is>
          <t>0206210763</t>
        </is>
      </c>
    </row>
    <row r="31">
      <c r="A31" t="inlineStr">
        <is>
          <t>A10BD</t>
        </is>
      </c>
      <c r="B31" t="inlineStr">
        <is>
          <t>Diabetes combinations</t>
        </is>
      </c>
      <c r="C31" t="inlineStr">
        <is>
          <t>DAPAGLIFLOZIN</t>
        </is>
      </c>
      <c r="D31" t="inlineStr">
        <is>
          <t>XIGDUO XR 5 mg/1000 mg Film Coted Tablet</t>
        </is>
      </c>
      <c r="E31" t="inlineStr">
        <is>
          <t>1000,5</t>
        </is>
      </c>
      <c r="F31" t="inlineStr">
        <is>
          <t>mg</t>
        </is>
      </c>
      <c r="G31" t="inlineStr">
        <is>
          <t>Film-coated tablet</t>
        </is>
      </c>
      <c r="H31" t="n">
        <v>56</v>
      </c>
      <c r="I31" t="n">
        <v>128</v>
      </c>
      <c r="J31" s="5">
        <f>IF(H31&gt;0,I31/H31,"")</f>
        <v/>
      </c>
      <c r="K31" s="5">
        <f>IF(J31="","",J31/Inputs!$B$1)</f>
        <v/>
      </c>
      <c r="L31" t="inlineStr">
        <is>
          <t>Originator</t>
        </is>
      </c>
      <c r="M31" t="inlineStr">
        <is>
          <t>AstraZeneca AB</t>
        </is>
      </c>
      <c r="N31" t="inlineStr">
        <is>
          <t>Saudi International Trading Company LTD</t>
        </is>
      </c>
      <c r="O31" t="inlineStr">
        <is>
          <t>1309234197</t>
        </is>
      </c>
    </row>
    <row r="32">
      <c r="A32" t="inlineStr">
        <is>
          <t>A10BD</t>
        </is>
      </c>
      <c r="B32" t="inlineStr">
        <is>
          <t>Diabetes combinations</t>
        </is>
      </c>
      <c r="C32" t="inlineStr">
        <is>
          <t>DAPAGLIFLOZIN</t>
        </is>
      </c>
      <c r="D32" t="inlineStr">
        <is>
          <t>Depaxamet</t>
        </is>
      </c>
      <c r="E32" t="inlineStr">
        <is>
          <t>10,500</t>
        </is>
      </c>
      <c r="F32" t="inlineStr">
        <is>
          <t>mg</t>
        </is>
      </c>
      <c r="G32" t="inlineStr">
        <is>
          <t>Film-coated tablet</t>
        </is>
      </c>
      <c r="H32" t="n">
        <v>30</v>
      </c>
      <c r="I32" t="n">
        <v>104.95</v>
      </c>
      <c r="J32" s="5">
        <f>IF(H32&gt;0,I32/H32,"")</f>
        <v/>
      </c>
      <c r="K32" s="5">
        <f>IF(J32="","",J32/Inputs!$B$1)</f>
        <v/>
      </c>
      <c r="L32" t="inlineStr">
        <is>
          <t>Generic or other</t>
        </is>
      </c>
      <c r="M32" t="inlineStr">
        <is>
          <t>Pharco International pharmaceutical company</t>
        </is>
      </c>
      <c r="N32" t="inlineStr">
        <is>
          <t>Pharco International pharmaceutical companyCigalah Group</t>
        </is>
      </c>
      <c r="O32" t="inlineStr">
        <is>
          <t>2704269534</t>
        </is>
      </c>
    </row>
    <row r="33">
      <c r="A33" t="inlineStr">
        <is>
          <t>A10BD</t>
        </is>
      </c>
      <c r="B33" t="inlineStr">
        <is>
          <t>Diabetes combinations</t>
        </is>
      </c>
      <c r="C33" t="inlineStr">
        <is>
          <t>DAPAGLIFLOZIN</t>
        </is>
      </c>
      <c r="D33" t="inlineStr">
        <is>
          <t>Metflozin XR</t>
        </is>
      </c>
      <c r="E33" t="inlineStr">
        <is>
          <t>10,500</t>
        </is>
      </c>
      <c r="F33" t="inlineStr">
        <is>
          <t>mg</t>
        </is>
      </c>
      <c r="G33" t="inlineStr">
        <is>
          <t>Film-coated tablet</t>
        </is>
      </c>
      <c r="H33" t="n">
        <v>30</v>
      </c>
      <c r="I33" t="n">
        <v>105</v>
      </c>
      <c r="J33" s="5">
        <f>IF(H33&gt;0,I33/H33,"")</f>
        <v/>
      </c>
      <c r="K33" s="5">
        <f>IF(J33="","",J33/Inputs!$B$1)</f>
        <v/>
      </c>
      <c r="L33" t="inlineStr">
        <is>
          <t>Generic or other</t>
        </is>
      </c>
      <c r="M33" t="inlineStr">
        <is>
          <t>Saudi Pharmaceutical Industries &amp; Medical Appliances Corporation</t>
        </is>
      </c>
      <c r="N33" t="inlineStr">
        <is>
          <t>SAUDI PHARMACEUTICAL INDUSTRIES</t>
        </is>
      </c>
      <c r="O33" t="inlineStr">
        <is>
          <t>0107260034</t>
        </is>
      </c>
    </row>
    <row r="34">
      <c r="A34" t="inlineStr">
        <is>
          <t>A10BD</t>
        </is>
      </c>
      <c r="B34" t="inlineStr">
        <is>
          <t>Diabetes combinations</t>
        </is>
      </c>
      <c r="C34" t="inlineStr">
        <is>
          <t>DAPAGLIFLOZIN</t>
        </is>
      </c>
      <c r="D34" t="inlineStr">
        <is>
          <t>Depaxamet</t>
        </is>
      </c>
      <c r="E34" t="inlineStr">
        <is>
          <t>10,1000</t>
        </is>
      </c>
      <c r="F34" t="inlineStr">
        <is>
          <t>mg</t>
        </is>
      </c>
      <c r="G34" t="inlineStr">
        <is>
          <t>Film-coated tablet</t>
        </is>
      </c>
      <c r="H34" t="n">
        <v>30</v>
      </c>
      <c r="I34" t="n">
        <v>106.6</v>
      </c>
      <c r="J34" s="5">
        <f>IF(H34&gt;0,I34/H34,"")</f>
        <v/>
      </c>
      <c r="K34" s="5">
        <f>IF(J34="","",J34/Inputs!$B$1)</f>
        <v/>
      </c>
      <c r="L34" t="inlineStr">
        <is>
          <t>Generic or other</t>
        </is>
      </c>
      <c r="M34" t="inlineStr">
        <is>
          <t>Pharco International pharmaceutical company</t>
        </is>
      </c>
      <c r="N34" t="inlineStr">
        <is>
          <t>Pharco International pharmaceutical companyCigalah Group</t>
        </is>
      </c>
      <c r="O34" t="inlineStr">
        <is>
          <t>2704269533</t>
        </is>
      </c>
    </row>
    <row r="35">
      <c r="A35" t="inlineStr">
        <is>
          <t>A10BD</t>
        </is>
      </c>
      <c r="B35" t="inlineStr">
        <is>
          <t>Diabetes combinations</t>
        </is>
      </c>
      <c r="C35" t="inlineStr">
        <is>
          <t>DAPAGLIFLOZIN</t>
        </is>
      </c>
      <c r="D35" t="inlineStr">
        <is>
          <t>Dapazin Met XR</t>
        </is>
      </c>
      <c r="E35" t="inlineStr">
        <is>
          <t>10,1000</t>
        </is>
      </c>
      <c r="F35" t="inlineStr">
        <is>
          <t>mg</t>
        </is>
      </c>
      <c r="G35" t="inlineStr">
        <is>
          <t>Modified-release film-coated tablet</t>
        </is>
      </c>
      <c r="H35" t="n">
        <v>28</v>
      </c>
      <c r="I35" t="n">
        <v>99.5</v>
      </c>
      <c r="J35" s="5">
        <f>IF(H35&gt;0,I35/H35,"")</f>
        <v/>
      </c>
      <c r="K35" s="5">
        <f>IF(J35="","",J35/Inputs!$B$1)</f>
        <v/>
      </c>
      <c r="L35" t="inlineStr">
        <is>
          <t>Generic or other</t>
        </is>
      </c>
      <c r="M35" t="inlineStr">
        <is>
          <t>Jamjoom Pharmaceuticals Factory Company</t>
        </is>
      </c>
      <c r="N35" t="inlineStr">
        <is>
          <t>JAMJOOM PHARMACEUTICALS CO. LTD.</t>
        </is>
      </c>
      <c r="O35" t="inlineStr">
        <is>
          <t>0110260614</t>
        </is>
      </c>
    </row>
    <row r="36">
      <c r="A36" t="inlineStr">
        <is>
          <t>A10BD</t>
        </is>
      </c>
      <c r="B36" t="inlineStr">
        <is>
          <t>Diabetes combinations</t>
        </is>
      </c>
      <c r="C36" t="inlineStr">
        <is>
          <t>DAPAGLIFLOZIN</t>
        </is>
      </c>
      <c r="D36" t="inlineStr">
        <is>
          <t>Divinusmet</t>
        </is>
      </c>
      <c r="E36" t="inlineStr">
        <is>
          <t>1000,10</t>
        </is>
      </c>
      <c r="F36" t="inlineStr">
        <is>
          <t>mg</t>
        </is>
      </c>
      <c r="G36" t="inlineStr">
        <is>
          <t>Film-coated tablet</t>
        </is>
      </c>
      <c r="H36" t="n">
        <v>30</v>
      </c>
      <c r="I36" t="n">
        <v>116.1</v>
      </c>
      <c r="J36" s="5">
        <f>IF(H36&gt;0,I36/H36,"")</f>
        <v/>
      </c>
      <c r="K36" s="5">
        <f>IF(J36="","",J36/Inputs!$B$1)</f>
        <v/>
      </c>
      <c r="L36" t="inlineStr">
        <is>
          <t>Generic or other</t>
        </is>
      </c>
      <c r="M36" t="inlineStr">
        <is>
          <t>Jazeera Pharmaceutical Industries (JPI)</t>
        </is>
      </c>
      <c r="N36" t="inlineStr">
        <is>
          <t>Jazeera Pharmaceutical Industries (JPI)</t>
        </is>
      </c>
      <c r="O36" t="inlineStr">
        <is>
          <t>0206210764</t>
        </is>
      </c>
    </row>
    <row r="37">
      <c r="A37" t="inlineStr">
        <is>
          <t>A10BD</t>
        </is>
      </c>
      <c r="B37" t="inlineStr">
        <is>
          <t>Diabetes combinations</t>
        </is>
      </c>
      <c r="C37" t="inlineStr">
        <is>
          <t>DAPAGLIFLOZIN</t>
        </is>
      </c>
      <c r="D37" t="inlineStr">
        <is>
          <t>XIGDUO XR 10 mg/500 mg Film Coted Tablet</t>
        </is>
      </c>
      <c r="E37" t="inlineStr">
        <is>
          <t>500,10</t>
        </is>
      </c>
      <c r="F37" t="inlineStr">
        <is>
          <t>mg</t>
        </is>
      </c>
      <c r="G37" t="inlineStr">
        <is>
          <t>Film-coated tablet</t>
        </is>
      </c>
      <c r="H37" t="n">
        <v>28</v>
      </c>
      <c r="I37" t="n">
        <v>122.45</v>
      </c>
      <c r="J37" s="5">
        <f>IF(H37&gt;0,I37/H37,"")</f>
        <v/>
      </c>
      <c r="K37" s="5">
        <f>IF(J37="","",J37/Inputs!$B$1)</f>
        <v/>
      </c>
      <c r="L37" t="inlineStr">
        <is>
          <t>Originator</t>
        </is>
      </c>
      <c r="M37" t="inlineStr">
        <is>
          <t>AstraZeneca AB</t>
        </is>
      </c>
      <c r="N37" t="inlineStr">
        <is>
          <t>Saudi International Trading Company LTD</t>
        </is>
      </c>
      <c r="O37" t="inlineStr">
        <is>
          <t>1309234196</t>
        </is>
      </c>
    </row>
    <row r="38">
      <c r="A38" t="inlineStr">
        <is>
          <t>A10BD</t>
        </is>
      </c>
      <c r="B38" t="inlineStr">
        <is>
          <t>Diabetes combinations</t>
        </is>
      </c>
      <c r="C38" t="inlineStr">
        <is>
          <t>DAPAGLIFLOZIN</t>
        </is>
      </c>
      <c r="D38" t="inlineStr">
        <is>
          <t>XIGDUO XR 10 mg/1000 mg Film Coted Tablet</t>
        </is>
      </c>
      <c r="E38" t="inlineStr">
        <is>
          <t>1000,10</t>
        </is>
      </c>
      <c r="F38" t="inlineStr">
        <is>
          <t>mg</t>
        </is>
      </c>
      <c r="G38" t="inlineStr">
        <is>
          <t>Film-coated tablet</t>
        </is>
      </c>
      <c r="H38" t="n">
        <v>28</v>
      </c>
      <c r="I38" t="n">
        <v>124.4</v>
      </c>
      <c r="J38" s="5">
        <f>IF(H38&gt;0,I38/H38,"")</f>
        <v/>
      </c>
      <c r="K38" s="5">
        <f>IF(J38="","",J38/Inputs!$B$1)</f>
        <v/>
      </c>
      <c r="L38" t="inlineStr">
        <is>
          <t>Originator</t>
        </is>
      </c>
      <c r="M38" t="inlineStr">
        <is>
          <t>AstraZeneca AB</t>
        </is>
      </c>
      <c r="N38" t="inlineStr">
        <is>
          <t>Saudi International Trading Company LTD</t>
        </is>
      </c>
      <c r="O38" t="inlineStr">
        <is>
          <t>1309234198</t>
        </is>
      </c>
    </row>
    <row r="39">
      <c r="A39" t="inlineStr">
        <is>
          <t>A10BD</t>
        </is>
      </c>
      <c r="B39" t="inlineStr">
        <is>
          <t>Diabetes combinations</t>
        </is>
      </c>
      <c r="C39" t="inlineStr">
        <is>
          <t>EMPAGLIFLOZIN</t>
        </is>
      </c>
      <c r="D39" t="inlineStr">
        <is>
          <t>Empamac Met</t>
        </is>
      </c>
      <c r="E39" t="inlineStr">
        <is>
          <t>12.5,1000</t>
        </is>
      </c>
      <c r="F39" t="inlineStr">
        <is>
          <t>mg</t>
        </is>
      </c>
      <c r="G39" t="inlineStr">
        <is>
          <t>Tablet</t>
        </is>
      </c>
      <c r="H39" t="n">
        <v>60</v>
      </c>
      <c r="I39" t="n">
        <v>120.05</v>
      </c>
      <c r="J39" s="5">
        <f>IF(H39&gt;0,I39/H39,"")</f>
        <v/>
      </c>
      <c r="K39" s="5">
        <f>IF(J39="","",J39/Inputs!$B$1)</f>
        <v/>
      </c>
      <c r="L39" t="inlineStr">
        <is>
          <t>Generic or other</t>
        </is>
      </c>
      <c r="M39" t="inlineStr">
        <is>
          <t>Pharma Pharmaceutical Industries (PPI)</t>
        </is>
      </c>
      <c r="N39" t="inlineStr">
        <is>
          <t>Pharma Pharmaceutical Industries (PPI)</t>
        </is>
      </c>
      <c r="O39" t="inlineStr">
        <is>
          <t>2306269970</t>
        </is>
      </c>
    </row>
    <row r="40">
      <c r="A40" t="inlineStr">
        <is>
          <t>A10BD</t>
        </is>
      </c>
      <c r="B40" t="inlineStr">
        <is>
          <t>Diabetes combinations</t>
        </is>
      </c>
      <c r="C40" t="inlineStr">
        <is>
          <t>EMPAGLIFLOZIN</t>
        </is>
      </c>
      <c r="D40" t="inlineStr">
        <is>
          <t>SYNJARDY 5/850 mg Film-coated Tablet</t>
        </is>
      </c>
      <c r="E40" t="inlineStr">
        <is>
          <t>850,5</t>
        </is>
      </c>
      <c r="F40" t="inlineStr">
        <is>
          <t>mg</t>
        </is>
      </c>
      <c r="G40" t="inlineStr">
        <is>
          <t>Film-coated tablet</t>
        </is>
      </c>
      <c r="H40" t="n">
        <v>60</v>
      </c>
      <c r="I40" t="n">
        <v>165.8</v>
      </c>
      <c r="J40" s="5">
        <f>IF(H40&gt;0,I40/H40,"")</f>
        <v/>
      </c>
      <c r="K40" s="5">
        <f>IF(J40="","",J40/Inputs!$B$1)</f>
        <v/>
      </c>
      <c r="L40" t="inlineStr">
        <is>
          <t>Originator</t>
        </is>
      </c>
      <c r="M40" t="inlineStr">
        <is>
          <t>BOEHRINGER INGELHEIM</t>
        </is>
      </c>
      <c r="N40" t="inlineStr">
        <is>
          <t>Cigalah Group</t>
        </is>
      </c>
      <c r="O40" t="inlineStr">
        <is>
          <t>2903233442</t>
        </is>
      </c>
    </row>
    <row r="41">
      <c r="A41" t="inlineStr">
        <is>
          <t>A10BD</t>
        </is>
      </c>
      <c r="B41" t="inlineStr">
        <is>
          <t>Diabetes combinations</t>
        </is>
      </c>
      <c r="C41" t="inlineStr">
        <is>
          <t>EMPAGLIFLOZIN</t>
        </is>
      </c>
      <c r="D41" t="inlineStr">
        <is>
          <t>SYNJARDY 12.5/850 mg Film-coated Tablet</t>
        </is>
      </c>
      <c r="E41" t="inlineStr">
        <is>
          <t>850,12.5</t>
        </is>
      </c>
      <c r="F41" t="inlineStr">
        <is>
          <t>mg</t>
        </is>
      </c>
      <c r="G41" t="inlineStr">
        <is>
          <t>Film-coated tablet</t>
        </is>
      </c>
      <c r="H41" t="n">
        <v>60</v>
      </c>
      <c r="I41" t="n">
        <v>165.8</v>
      </c>
      <c r="J41" s="5">
        <f>IF(H41&gt;0,I41/H41,"")</f>
        <v/>
      </c>
      <c r="K41" s="5">
        <f>IF(J41="","",J41/Inputs!$B$1)</f>
        <v/>
      </c>
      <c r="L41" t="inlineStr">
        <is>
          <t>Originator</t>
        </is>
      </c>
      <c r="M41" t="inlineStr">
        <is>
          <t>BOEHRINGER INGELHEIM</t>
        </is>
      </c>
      <c r="N41" t="inlineStr">
        <is>
          <t>Cigalah Group</t>
        </is>
      </c>
      <c r="O41" t="inlineStr">
        <is>
          <t>2903233443</t>
        </is>
      </c>
    </row>
    <row r="42">
      <c r="A42" t="inlineStr">
        <is>
          <t>A10BD</t>
        </is>
      </c>
      <c r="B42" t="inlineStr">
        <is>
          <t>Diabetes combinations</t>
        </is>
      </c>
      <c r="C42" t="inlineStr">
        <is>
          <t>EMPAGLIFLOZIN</t>
        </is>
      </c>
      <c r="D42" t="inlineStr">
        <is>
          <t>SYNJARDY 5/1000 mg Film-coated Tablet</t>
        </is>
      </c>
      <c r="E42" t="inlineStr">
        <is>
          <t>1000,5</t>
        </is>
      </c>
      <c r="F42" t="inlineStr">
        <is>
          <t>mg</t>
        </is>
      </c>
      <c r="G42" t="inlineStr">
        <is>
          <t>Film-coated tablet</t>
        </is>
      </c>
      <c r="H42" t="n">
        <v>60</v>
      </c>
      <c r="I42" t="n">
        <v>171.5</v>
      </c>
      <c r="J42" s="5">
        <f>IF(H42&gt;0,I42/H42,"")</f>
        <v/>
      </c>
      <c r="K42" s="5">
        <f>IF(J42="","",J42/Inputs!$B$1)</f>
        <v/>
      </c>
      <c r="L42" t="inlineStr">
        <is>
          <t>Originator</t>
        </is>
      </c>
      <c r="M42" t="inlineStr">
        <is>
          <t>BOEHRINGER INGELHEIM</t>
        </is>
      </c>
      <c r="N42" t="inlineStr">
        <is>
          <t>Cigalah Group</t>
        </is>
      </c>
      <c r="O42" t="inlineStr">
        <is>
          <t>2903233444</t>
        </is>
      </c>
    </row>
    <row r="43">
      <c r="A43" t="inlineStr">
        <is>
          <t>A10BD</t>
        </is>
      </c>
      <c r="B43" t="inlineStr">
        <is>
          <t>Diabetes combinations</t>
        </is>
      </c>
      <c r="C43" t="inlineStr">
        <is>
          <t>EMPAGLIFLOZIN</t>
        </is>
      </c>
      <c r="D43" t="inlineStr">
        <is>
          <t>SYNJARDY 12.5/1000 mg Film-coated Tablet</t>
        </is>
      </c>
      <c r="E43" t="inlineStr">
        <is>
          <t>1000,12.5</t>
        </is>
      </c>
      <c r="F43" t="inlineStr">
        <is>
          <t>mg</t>
        </is>
      </c>
      <c r="G43" t="inlineStr">
        <is>
          <t>Film-coated tablet</t>
        </is>
      </c>
      <c r="H43" t="n">
        <v>60</v>
      </c>
      <c r="I43" t="n">
        <v>171.5</v>
      </c>
      <c r="J43" s="5">
        <f>IF(H43&gt;0,I43/H43,"")</f>
        <v/>
      </c>
      <c r="K43" s="5">
        <f>IF(J43="","",J43/Inputs!$B$1)</f>
        <v/>
      </c>
      <c r="L43" t="inlineStr">
        <is>
          <t>Originator</t>
        </is>
      </c>
      <c r="M43" t="inlineStr">
        <is>
          <t>BOEHRINGER INGELHEIM</t>
        </is>
      </c>
      <c r="N43" t="inlineStr">
        <is>
          <t>Cigalah Group</t>
        </is>
      </c>
      <c r="O43" t="inlineStr">
        <is>
          <t>2903233445</t>
        </is>
      </c>
    </row>
    <row r="44">
      <c r="A44" t="inlineStr">
        <is>
          <t>A10BD</t>
        </is>
      </c>
      <c r="B44" t="inlineStr">
        <is>
          <t>Diabetes combinations</t>
        </is>
      </c>
      <c r="C44" t="inlineStr">
        <is>
          <t>LINAGLIPTIN</t>
        </is>
      </c>
      <c r="D44" t="inlineStr">
        <is>
          <t>Linajent-Met</t>
        </is>
      </c>
      <c r="E44" t="inlineStr">
        <is>
          <t>2.5,850</t>
        </is>
      </c>
      <c r="F44" t="inlineStr">
        <is>
          <t>mg</t>
        </is>
      </c>
      <c r="G44" t="inlineStr">
        <is>
          <t>Film-coated tablet</t>
        </is>
      </c>
      <c r="H44" t="n">
        <v>56</v>
      </c>
      <c r="I44" t="n">
        <v>121.45</v>
      </c>
      <c r="J44" s="5">
        <f>IF(H44&gt;0,I44/H44,"")</f>
        <v/>
      </c>
      <c r="K44" s="5">
        <f>IF(J44="","",J44/Inputs!$B$1)</f>
        <v/>
      </c>
      <c r="L44" t="inlineStr">
        <is>
          <t>Generic or other</t>
        </is>
      </c>
      <c r="M44" t="inlineStr">
        <is>
          <t>Tabuk Pharmaceutical Manufacturing Company</t>
        </is>
      </c>
      <c r="N44" t="inlineStr">
        <is>
          <t>Tabuk Pharmaceutical Manufacturing Company</t>
        </is>
      </c>
      <c r="O44" t="inlineStr">
        <is>
          <t>1607260131</t>
        </is>
      </c>
    </row>
    <row r="45">
      <c r="A45" t="inlineStr">
        <is>
          <t>A10BD</t>
        </is>
      </c>
      <c r="B45" t="inlineStr">
        <is>
          <t>Diabetes combinations</t>
        </is>
      </c>
      <c r="C45" t="inlineStr">
        <is>
          <t>LINAGLIPTIN</t>
        </is>
      </c>
      <c r="D45" t="inlineStr">
        <is>
          <t>Linajent-Met</t>
        </is>
      </c>
      <c r="E45" t="inlineStr">
        <is>
          <t>2.5,850</t>
        </is>
      </c>
      <c r="F45" t="inlineStr">
        <is>
          <t>mg</t>
        </is>
      </c>
      <c r="G45" t="inlineStr">
        <is>
          <t>Film-coated tablet</t>
        </is>
      </c>
      <c r="H45" t="n">
        <v>28</v>
      </c>
      <c r="I45" t="n">
        <v>60.75</v>
      </c>
      <c r="J45" s="5">
        <f>IF(H45&gt;0,I45/H45,"")</f>
        <v/>
      </c>
      <c r="K45" s="5">
        <f>IF(J45="","",J45/Inputs!$B$1)</f>
        <v/>
      </c>
      <c r="L45" t="inlineStr">
        <is>
          <t>Generic or other</t>
        </is>
      </c>
      <c r="M45" t="inlineStr">
        <is>
          <t>Tabuk Pharmaceutical Manufacturing Company</t>
        </is>
      </c>
      <c r="N45" t="inlineStr">
        <is>
          <t>Tabuk Pharmaceutical Manufacturing Company</t>
        </is>
      </c>
      <c r="O45" t="inlineStr">
        <is>
          <t>1607260133</t>
        </is>
      </c>
    </row>
    <row r="46">
      <c r="A46" t="inlineStr">
        <is>
          <t>A10BD</t>
        </is>
      </c>
      <c r="B46" t="inlineStr">
        <is>
          <t>Diabetes combinations</t>
        </is>
      </c>
      <c r="C46" t="inlineStr">
        <is>
          <t>LINAGLIPTIN</t>
        </is>
      </c>
      <c r="D46" t="inlineStr">
        <is>
          <t>Linajent -Met</t>
        </is>
      </c>
      <c r="E46" t="inlineStr">
        <is>
          <t>2.5,1000</t>
        </is>
      </c>
      <c r="F46" t="inlineStr">
        <is>
          <t>mg</t>
        </is>
      </c>
      <c r="G46" t="inlineStr">
        <is>
          <t>Film-coated tablet</t>
        </is>
      </c>
      <c r="H46" t="n">
        <v>28</v>
      </c>
      <c r="I46" t="n">
        <v>64.5</v>
      </c>
      <c r="J46" s="5">
        <f>IF(H46&gt;0,I46/H46,"")</f>
        <v/>
      </c>
      <c r="K46" s="5">
        <f>IF(J46="","",J46/Inputs!$B$1)</f>
        <v/>
      </c>
      <c r="L46" t="inlineStr">
        <is>
          <t>Generic or other</t>
        </is>
      </c>
      <c r="M46" t="inlineStr">
        <is>
          <t>Tabuk Pharmaceutical Manufacturing Company</t>
        </is>
      </c>
      <c r="N46" t="inlineStr">
        <is>
          <t>Tabuk Pharmaceutical Manufacturing Company</t>
        </is>
      </c>
      <c r="O46" t="inlineStr">
        <is>
          <t>1607260132</t>
        </is>
      </c>
    </row>
    <row r="47">
      <c r="A47" t="inlineStr">
        <is>
          <t>A10BD</t>
        </is>
      </c>
      <c r="B47" t="inlineStr">
        <is>
          <t>Diabetes combinations</t>
        </is>
      </c>
      <c r="C47" t="inlineStr">
        <is>
          <t>LINAGLIPTIN</t>
        </is>
      </c>
      <c r="D47" t="inlineStr">
        <is>
          <t>Linajent -Met</t>
        </is>
      </c>
      <c r="E47" t="inlineStr">
        <is>
          <t>2.5,1000</t>
        </is>
      </c>
      <c r="F47" t="inlineStr">
        <is>
          <t>mg</t>
        </is>
      </c>
      <c r="G47" t="inlineStr">
        <is>
          <t>Film-coated tablet</t>
        </is>
      </c>
      <c r="H47" t="n">
        <v>56</v>
      </c>
      <c r="I47" t="n">
        <v>129</v>
      </c>
      <c r="J47" s="5">
        <f>IF(H47&gt;0,I47/H47,"")</f>
        <v/>
      </c>
      <c r="K47" s="5">
        <f>IF(J47="","",J47/Inputs!$B$1)</f>
        <v/>
      </c>
      <c r="L47" t="inlineStr">
        <is>
          <t>Generic or other</t>
        </is>
      </c>
      <c r="M47" t="inlineStr">
        <is>
          <t>Tabuk Pharmaceutical Manufacturing Company</t>
        </is>
      </c>
      <c r="N47" t="inlineStr">
        <is>
          <t>Tabuk Pharmaceutical Manufacturing Company</t>
        </is>
      </c>
      <c r="O47" t="inlineStr">
        <is>
          <t>1607260130</t>
        </is>
      </c>
    </row>
    <row r="48">
      <c r="A48" t="inlineStr">
        <is>
          <t>A10BD</t>
        </is>
      </c>
      <c r="B48" t="inlineStr">
        <is>
          <t>Diabetes combinations</t>
        </is>
      </c>
      <c r="C48" t="inlineStr">
        <is>
          <t>LINAGLIPTIN</t>
        </is>
      </c>
      <c r="D48" t="inlineStr">
        <is>
          <t>TriGutirek</t>
        </is>
      </c>
      <c r="E48" t="inlineStr">
        <is>
          <t>25,5,1000</t>
        </is>
      </c>
      <c r="F48" t="inlineStr">
        <is>
          <t>mg</t>
        </is>
      </c>
      <c r="G48" t="inlineStr">
        <is>
          <t>Prolonged-release film-coated tablet</t>
        </is>
      </c>
      <c r="H48" t="n">
        <v>30</v>
      </c>
      <c r="I48" t="n">
        <v>230.3</v>
      </c>
      <c r="J48" s="5">
        <f>IF(H48&gt;0,I48/H48,"")</f>
        <v/>
      </c>
      <c r="K48" s="5">
        <f>IF(J48="","",J48/Inputs!$B$1)</f>
        <v/>
      </c>
      <c r="L48" t="inlineStr">
        <is>
          <t>Generic or other</t>
        </is>
      </c>
      <c r="M48" t="inlineStr">
        <is>
          <t>Eva pharma for Industry</t>
        </is>
      </c>
      <c r="N48" t="inlineStr">
        <is>
          <t>Eva pharma for Industry</t>
        </is>
      </c>
      <c r="O48" t="inlineStr">
        <is>
          <t>1506269910</t>
        </is>
      </c>
    </row>
    <row r="49">
      <c r="A49" t="inlineStr">
        <is>
          <t>A10BD</t>
        </is>
      </c>
      <c r="B49" t="inlineStr">
        <is>
          <t>Diabetes combinations</t>
        </is>
      </c>
      <c r="C49" t="inlineStr">
        <is>
          <t>LINAGLIPTIN</t>
        </is>
      </c>
      <c r="D49" t="inlineStr">
        <is>
          <t>TriGutirek</t>
        </is>
      </c>
      <c r="E49" t="inlineStr">
        <is>
          <t>10,5,1000</t>
        </is>
      </c>
      <c r="F49" t="inlineStr">
        <is>
          <t>mg</t>
        </is>
      </c>
      <c r="G49" t="inlineStr">
        <is>
          <t>Prolonged-release film-coated tablet</t>
        </is>
      </c>
      <c r="H49" t="n">
        <v>30</v>
      </c>
      <c r="I49" t="n">
        <v>230.3</v>
      </c>
      <c r="J49" s="5">
        <f>IF(H49&gt;0,I49/H49,"")</f>
        <v/>
      </c>
      <c r="K49" s="5">
        <f>IF(J49="","",J49/Inputs!$B$1)</f>
        <v/>
      </c>
      <c r="L49" t="inlineStr">
        <is>
          <t>Generic or other</t>
        </is>
      </c>
      <c r="M49" t="inlineStr">
        <is>
          <t>Eva pharma for Industry</t>
        </is>
      </c>
      <c r="N49" t="inlineStr">
        <is>
          <t>Eva pharma for Industry</t>
        </is>
      </c>
      <c r="O49" t="inlineStr">
        <is>
          <t>1506269911</t>
        </is>
      </c>
    </row>
    <row r="50">
      <c r="A50" t="inlineStr">
        <is>
          <t>A10BD</t>
        </is>
      </c>
      <c r="B50" t="inlineStr">
        <is>
          <t>Diabetes combinations</t>
        </is>
      </c>
      <c r="C50" t="inlineStr">
        <is>
          <t>SITAGLIPTIN</t>
        </is>
      </c>
      <c r="D50" t="inlineStr">
        <is>
          <t>Sitamend Met</t>
        </is>
      </c>
      <c r="E50" t="inlineStr">
        <is>
          <t>50,500</t>
        </is>
      </c>
      <c r="F50" t="inlineStr">
        <is>
          <t>mg</t>
        </is>
      </c>
      <c r="G50" t="inlineStr">
        <is>
          <t>Film-coated tablet</t>
        </is>
      </c>
      <c r="H50" t="n">
        <v>60</v>
      </c>
      <c r="I50" t="n">
        <v>91.05</v>
      </c>
      <c r="J50" s="5">
        <f>IF(H50&gt;0,I50/H50,"")</f>
        <v/>
      </c>
      <c r="K50" s="5">
        <f>IF(J50="","",J50/Inputs!$B$1)</f>
        <v/>
      </c>
      <c r="L50" t="inlineStr">
        <is>
          <t>Generic or other</t>
        </is>
      </c>
      <c r="M50" t="inlineStr">
        <is>
          <t>Tabuk Pharmaceutical Manufacturing Company</t>
        </is>
      </c>
      <c r="N50" t="inlineStr">
        <is>
          <t>Tabuk Pharmaceutical Manufacturing Company</t>
        </is>
      </c>
      <c r="O50" t="inlineStr">
        <is>
          <t>1705269746</t>
        </is>
      </c>
    </row>
    <row r="51">
      <c r="A51" t="inlineStr">
        <is>
          <t>A10BD</t>
        </is>
      </c>
      <c r="B51" t="inlineStr">
        <is>
          <t>Diabetes combinations</t>
        </is>
      </c>
      <c r="C51" t="inlineStr">
        <is>
          <t>SITAGLIPTIN</t>
        </is>
      </c>
      <c r="D51" t="inlineStr">
        <is>
          <t>Sitamend Met</t>
        </is>
      </c>
      <c r="E51" t="inlineStr">
        <is>
          <t>50,500</t>
        </is>
      </c>
      <c r="F51" t="inlineStr">
        <is>
          <t>mg</t>
        </is>
      </c>
      <c r="G51" t="inlineStr">
        <is>
          <t>Film-coated tablet</t>
        </is>
      </c>
      <c r="H51" t="n">
        <v>28</v>
      </c>
      <c r="I51" t="n">
        <v>42.5</v>
      </c>
      <c r="J51" s="5">
        <f>IF(H51&gt;0,I51/H51,"")</f>
        <v/>
      </c>
      <c r="K51" s="5">
        <f>IF(J51="","",J51/Inputs!$B$1)</f>
        <v/>
      </c>
      <c r="L51" t="inlineStr">
        <is>
          <t>Generic or other</t>
        </is>
      </c>
      <c r="M51" t="inlineStr">
        <is>
          <t>Tabuk Pharmaceutical Manufacturing Company</t>
        </is>
      </c>
      <c r="N51" t="inlineStr">
        <is>
          <t>Tabuk Pharmaceutical Manufacturing Company</t>
        </is>
      </c>
      <c r="O51" t="inlineStr">
        <is>
          <t>1705269749</t>
        </is>
      </c>
    </row>
    <row r="52">
      <c r="A52" t="inlineStr">
        <is>
          <t>A10BD</t>
        </is>
      </c>
      <c r="B52" t="inlineStr">
        <is>
          <t>Diabetes combinations</t>
        </is>
      </c>
      <c r="C52" t="inlineStr">
        <is>
          <t>SITAGLIPTIN</t>
        </is>
      </c>
      <c r="D52" t="inlineStr">
        <is>
          <t>Sitavic</t>
        </is>
      </c>
      <c r="E52" t="inlineStr">
        <is>
          <t>50,850</t>
        </is>
      </c>
      <c r="F52" t="inlineStr">
        <is>
          <t>mg</t>
        </is>
      </c>
      <c r="G52" t="inlineStr">
        <is>
          <t>Film-coated tablet</t>
        </is>
      </c>
      <c r="H52" t="n">
        <v>56</v>
      </c>
      <c r="I52" t="n">
        <v>88</v>
      </c>
      <c r="J52" s="5">
        <f>IF(H52&gt;0,I52/H52,"")</f>
        <v/>
      </c>
      <c r="K52" s="5">
        <f>IF(J52="","",J52/Inputs!$B$1)</f>
        <v/>
      </c>
      <c r="L52" t="inlineStr">
        <is>
          <t>Generic or other</t>
        </is>
      </c>
      <c r="M52" t="inlineStr">
        <is>
          <t>Jamjoom Pharmaceuticals Factory Company</t>
        </is>
      </c>
      <c r="N52" t="inlineStr">
        <is>
          <t>JAMJOOM PHARMACEUTICALS CO. LTD.</t>
        </is>
      </c>
      <c r="O52" t="inlineStr">
        <is>
          <t>0810246015</t>
        </is>
      </c>
    </row>
    <row r="53">
      <c r="A53" t="inlineStr">
        <is>
          <t>A10BD</t>
        </is>
      </c>
      <c r="B53" t="inlineStr">
        <is>
          <t>Diabetes combinations</t>
        </is>
      </c>
      <c r="C53" t="inlineStr">
        <is>
          <t>SITAGLIPTIN</t>
        </is>
      </c>
      <c r="D53" t="inlineStr">
        <is>
          <t>CRONOXAM PLUS</t>
        </is>
      </c>
      <c r="E53" t="inlineStr">
        <is>
          <t>50,850</t>
        </is>
      </c>
      <c r="F53" t="inlineStr">
        <is>
          <t>mg</t>
        </is>
      </c>
      <c r="G53" t="inlineStr">
        <is>
          <t>Film-coated tablet</t>
        </is>
      </c>
      <c r="H53" t="n">
        <v>56</v>
      </c>
      <c r="I53" t="n">
        <v>88</v>
      </c>
      <c r="J53" s="5">
        <f>IF(H53&gt;0,I53/H53,"")</f>
        <v/>
      </c>
      <c r="K53" s="5">
        <f>IF(J53="","",J53/Inputs!$B$1)</f>
        <v/>
      </c>
      <c r="L53" t="inlineStr">
        <is>
          <t>Generic or other</t>
        </is>
      </c>
      <c r="M53" t="inlineStr">
        <is>
          <t>APOTEX</t>
        </is>
      </c>
      <c r="N53" t="inlineStr">
        <is>
          <t>Cigalah Group</t>
        </is>
      </c>
      <c r="O53" t="inlineStr">
        <is>
          <t>2611246338</t>
        </is>
      </c>
    </row>
    <row r="54">
      <c r="A54" t="inlineStr">
        <is>
          <t>A10BD</t>
        </is>
      </c>
      <c r="B54" t="inlineStr">
        <is>
          <t>Diabetes combinations</t>
        </is>
      </c>
      <c r="C54" t="inlineStr">
        <is>
          <t>SITAGLIPTIN</t>
        </is>
      </c>
      <c r="D54" t="inlineStr">
        <is>
          <t>Glytix met</t>
        </is>
      </c>
      <c r="E54" t="inlineStr">
        <is>
          <t>50,850</t>
        </is>
      </c>
      <c r="F54" t="inlineStr">
        <is>
          <t>mg</t>
        </is>
      </c>
      <c r="G54" t="inlineStr">
        <is>
          <t>Film-coated tablet</t>
        </is>
      </c>
      <c r="H54" t="n">
        <v>56</v>
      </c>
      <c r="I54" t="n">
        <v>88</v>
      </c>
      <c r="J54" s="5">
        <f>IF(H54&gt;0,I54/H54,"")</f>
        <v/>
      </c>
      <c r="K54" s="5">
        <f>IF(J54="","",J54/Inputs!$B$1)</f>
        <v/>
      </c>
      <c r="L54" t="inlineStr">
        <is>
          <t>Generic or other</t>
        </is>
      </c>
      <c r="M54" t="inlineStr">
        <is>
          <t>MS PHARMA for Pharmaceuticals</t>
        </is>
      </c>
      <c r="N54" t="inlineStr">
        <is>
          <t>Cigalah Group</t>
        </is>
      </c>
      <c r="O54" t="inlineStr">
        <is>
          <t>2105269810</t>
        </is>
      </c>
    </row>
    <row r="55">
      <c r="A55" t="inlineStr">
        <is>
          <t>A10BD</t>
        </is>
      </c>
      <c r="B55" t="inlineStr">
        <is>
          <t>Diabetes combinations</t>
        </is>
      </c>
      <c r="C55" t="inlineStr">
        <is>
          <t>SITAGLIPTIN</t>
        </is>
      </c>
      <c r="D55" t="inlineStr">
        <is>
          <t>Sitamend Met</t>
        </is>
      </c>
      <c r="E55" t="inlineStr">
        <is>
          <t>50,850</t>
        </is>
      </c>
      <c r="F55" t="inlineStr">
        <is>
          <t>mg</t>
        </is>
      </c>
      <c r="G55" t="inlineStr">
        <is>
          <t>Film-coated tablet</t>
        </is>
      </c>
      <c r="H55" t="n">
        <v>60</v>
      </c>
      <c r="I55" t="n">
        <v>94.3</v>
      </c>
      <c r="J55" s="5">
        <f>IF(H55&gt;0,I55/H55,"")</f>
        <v/>
      </c>
      <c r="K55" s="5">
        <f>IF(J55="","",J55/Inputs!$B$1)</f>
        <v/>
      </c>
      <c r="L55" t="inlineStr">
        <is>
          <t>Generic or other</t>
        </is>
      </c>
      <c r="M55" t="inlineStr">
        <is>
          <t>Tabuk Pharmaceutical Manufacturing Company</t>
        </is>
      </c>
      <c r="N55" t="inlineStr">
        <is>
          <t>Tabuk Pharmaceutical Manufacturing Company</t>
        </is>
      </c>
      <c r="O55" t="inlineStr">
        <is>
          <t>1705269747</t>
        </is>
      </c>
    </row>
    <row r="56">
      <c r="A56" t="inlineStr">
        <is>
          <t>A10BD</t>
        </is>
      </c>
      <c r="B56" t="inlineStr">
        <is>
          <t>Diabetes combinations</t>
        </is>
      </c>
      <c r="C56" t="inlineStr">
        <is>
          <t>SITAGLIPTIN</t>
        </is>
      </c>
      <c r="D56" t="inlineStr">
        <is>
          <t>Meligamet 50 mg / 850 mg</t>
        </is>
      </c>
      <c r="E56" t="inlineStr">
        <is>
          <t>850,50</t>
        </is>
      </c>
      <c r="F56" t="inlineStr">
        <is>
          <t>mg</t>
        </is>
      </c>
      <c r="G56" t="inlineStr">
        <is>
          <t>Tablet</t>
        </is>
      </c>
      <c r="H56" t="n">
        <v>60</v>
      </c>
      <c r="I56" t="n">
        <v>95.34999999999999</v>
      </c>
      <c r="J56" s="5">
        <f>IF(H56&gt;0,I56/H56,"")</f>
        <v/>
      </c>
      <c r="K56" s="5">
        <f>IF(J56="","",J56/Inputs!$B$1)</f>
        <v/>
      </c>
      <c r="L56" t="inlineStr">
        <is>
          <t>Generic or other</t>
        </is>
      </c>
      <c r="M56" t="inlineStr">
        <is>
          <t>Saudi Amarox</t>
        </is>
      </c>
      <c r="N56" t="inlineStr">
        <is>
          <t>Saudi AmaroxAL-DAWAA MEDICAL SERVICES CO. LTD</t>
        </is>
      </c>
      <c r="O56" t="inlineStr">
        <is>
          <t>0412222968</t>
        </is>
      </c>
    </row>
    <row r="57">
      <c r="A57" t="inlineStr">
        <is>
          <t>A10BD</t>
        </is>
      </c>
      <c r="B57" t="inlineStr">
        <is>
          <t>Diabetes combinations</t>
        </is>
      </c>
      <c r="C57" t="inlineStr">
        <is>
          <t>SITAGLIPTIN</t>
        </is>
      </c>
      <c r="D57" t="inlineStr">
        <is>
          <t>Sitamend Met</t>
        </is>
      </c>
      <c r="E57" t="inlineStr">
        <is>
          <t>50,1000</t>
        </is>
      </c>
      <c r="F57" t="inlineStr">
        <is>
          <t>mg</t>
        </is>
      </c>
      <c r="G57" t="inlineStr">
        <is>
          <t>Film-coated tablet</t>
        </is>
      </c>
      <c r="H57" t="n">
        <v>60</v>
      </c>
      <c r="I57" t="n">
        <v>97.7</v>
      </c>
      <c r="J57" s="5">
        <f>IF(H57&gt;0,I57/H57,"")</f>
        <v/>
      </c>
      <c r="K57" s="5">
        <f>IF(J57="","",J57/Inputs!$B$1)</f>
        <v/>
      </c>
      <c r="L57" t="inlineStr">
        <is>
          <t>Generic or other</t>
        </is>
      </c>
      <c r="M57" t="inlineStr">
        <is>
          <t>Tabuk Pharmaceutical Manufacturing Company</t>
        </is>
      </c>
      <c r="N57" t="inlineStr">
        <is>
          <t>Tabuk Pharmaceutical Manufacturing Company</t>
        </is>
      </c>
      <c r="O57" t="inlineStr">
        <is>
          <t>1705269748</t>
        </is>
      </c>
    </row>
    <row r="58">
      <c r="A58" t="inlineStr">
        <is>
          <t>A10BD</t>
        </is>
      </c>
      <c r="B58" t="inlineStr">
        <is>
          <t>Diabetes combinations</t>
        </is>
      </c>
      <c r="C58" t="inlineStr">
        <is>
          <t>SITAGLIPTIN</t>
        </is>
      </c>
      <c r="D58" t="inlineStr">
        <is>
          <t>Sitavic</t>
        </is>
      </c>
      <c r="E58" t="inlineStr">
        <is>
          <t>50,1000</t>
        </is>
      </c>
      <c r="F58" t="inlineStr">
        <is>
          <t>mg</t>
        </is>
      </c>
      <c r="G58" t="inlineStr">
        <is>
          <t>Film-coated tablet</t>
        </is>
      </c>
      <c r="H58" t="n">
        <v>56</v>
      </c>
      <c r="I58" t="n">
        <v>91.2</v>
      </c>
      <c r="J58" s="5">
        <f>IF(H58&gt;0,I58/H58,"")</f>
        <v/>
      </c>
      <c r="K58" s="5">
        <f>IF(J58="","",J58/Inputs!$B$1)</f>
        <v/>
      </c>
      <c r="L58" t="inlineStr">
        <is>
          <t>Generic or other</t>
        </is>
      </c>
      <c r="M58" t="inlineStr">
        <is>
          <t>Jamjoom Pharmaceuticals Factory Company</t>
        </is>
      </c>
      <c r="N58" t="inlineStr">
        <is>
          <t>JAMJOOM PHARMACEUTICALS CO. LTD.</t>
        </is>
      </c>
      <c r="O58" t="inlineStr">
        <is>
          <t>0810246016</t>
        </is>
      </c>
    </row>
    <row r="59">
      <c r="A59" t="inlineStr">
        <is>
          <t>A10BD</t>
        </is>
      </c>
      <c r="B59" t="inlineStr">
        <is>
          <t>Diabetes combinations</t>
        </is>
      </c>
      <c r="C59" t="inlineStr">
        <is>
          <t>SITAGLIPTIN</t>
        </is>
      </c>
      <c r="D59" t="inlineStr">
        <is>
          <t>CRONOXAM PLUS</t>
        </is>
      </c>
      <c r="E59" t="inlineStr">
        <is>
          <t>50,1000</t>
        </is>
      </c>
      <c r="F59" t="inlineStr">
        <is>
          <t>mg</t>
        </is>
      </c>
      <c r="G59" t="inlineStr">
        <is>
          <t>Film-coated tablet</t>
        </is>
      </c>
      <c r="H59" t="n">
        <v>56</v>
      </c>
      <c r="I59" t="n">
        <v>91.2</v>
      </c>
      <c r="J59" s="5">
        <f>IF(H59&gt;0,I59/H59,"")</f>
        <v/>
      </c>
      <c r="K59" s="5">
        <f>IF(J59="","",J59/Inputs!$B$1)</f>
        <v/>
      </c>
      <c r="L59" t="inlineStr">
        <is>
          <t>Generic or other</t>
        </is>
      </c>
      <c r="M59" t="inlineStr">
        <is>
          <t>APOTEX</t>
        </is>
      </c>
      <c r="N59" t="inlineStr">
        <is>
          <t>Cigalah Group</t>
        </is>
      </c>
      <c r="O59" t="inlineStr">
        <is>
          <t>2611246339</t>
        </is>
      </c>
    </row>
    <row r="60">
      <c r="A60" t="inlineStr">
        <is>
          <t>A10BD</t>
        </is>
      </c>
      <c r="B60" t="inlineStr">
        <is>
          <t>Diabetes combinations</t>
        </is>
      </c>
      <c r="C60" t="inlineStr">
        <is>
          <t>SITAGLIPTIN</t>
        </is>
      </c>
      <c r="D60" t="inlineStr">
        <is>
          <t>Sitamend Met</t>
        </is>
      </c>
      <c r="E60" t="inlineStr">
        <is>
          <t>50,1000</t>
        </is>
      </c>
      <c r="F60" t="inlineStr">
        <is>
          <t>mg</t>
        </is>
      </c>
      <c r="G60" t="inlineStr">
        <is>
          <t>Film-coated tablet</t>
        </is>
      </c>
      <c r="H60" t="n">
        <v>28</v>
      </c>
      <c r="I60" t="n">
        <v>45.6</v>
      </c>
      <c r="J60" s="5">
        <f>IF(H60&gt;0,I60/H60,"")</f>
        <v/>
      </c>
      <c r="K60" s="5">
        <f>IF(J60="","",J60/Inputs!$B$1)</f>
        <v/>
      </c>
      <c r="L60" t="inlineStr">
        <is>
          <t>Generic or other</t>
        </is>
      </c>
      <c r="M60" t="inlineStr">
        <is>
          <t>Tabuk Pharmaceutical Manufacturing Company</t>
        </is>
      </c>
      <c r="N60" t="inlineStr">
        <is>
          <t>Tabuk Pharmaceutical Manufacturing Company</t>
        </is>
      </c>
      <c r="O60" t="inlineStr">
        <is>
          <t>1705269744</t>
        </is>
      </c>
    </row>
    <row r="61">
      <c r="A61" t="inlineStr">
        <is>
          <t>A10BD</t>
        </is>
      </c>
      <c r="B61" t="inlineStr">
        <is>
          <t>Diabetes combinations</t>
        </is>
      </c>
      <c r="C61" t="inlineStr">
        <is>
          <t>SITAGLIPTIN</t>
        </is>
      </c>
      <c r="D61" t="inlineStr">
        <is>
          <t>Asigemet</t>
        </is>
      </c>
      <c r="E61" t="inlineStr">
        <is>
          <t>1000, 50</t>
        </is>
      </c>
      <c r="F61" t="inlineStr">
        <is>
          <t>mg/mg</t>
        </is>
      </c>
      <c r="G61" t="inlineStr">
        <is>
          <t>Film-coated tablet</t>
        </is>
      </c>
      <c r="H61" t="n">
        <v>56</v>
      </c>
      <c r="I61" t="n">
        <v>91.2</v>
      </c>
      <c r="J61" s="5">
        <f>IF(H61&gt;0,I61/H61,"")</f>
        <v/>
      </c>
      <c r="K61" s="5">
        <f>IF(J61="","",J61/Inputs!$B$1)</f>
        <v/>
      </c>
      <c r="L61" t="inlineStr">
        <is>
          <t>Generic or other</t>
        </is>
      </c>
      <c r="M61" t="inlineStr">
        <is>
          <t>KRKA D D NOVO MESTO</t>
        </is>
      </c>
      <c r="N61" t="inlineStr">
        <is>
          <t>DERMAZONE Est</t>
        </is>
      </c>
      <c r="O61" t="inlineStr">
        <is>
          <t>3008260401</t>
        </is>
      </c>
    </row>
    <row r="62">
      <c r="A62" t="inlineStr">
        <is>
          <t>A10BD</t>
        </is>
      </c>
      <c r="B62" t="inlineStr">
        <is>
          <t>Diabetes combinations</t>
        </is>
      </c>
      <c r="C62" t="inlineStr">
        <is>
          <t>SITAGLIPTIN</t>
        </is>
      </c>
      <c r="D62" t="inlineStr">
        <is>
          <t>Meligamet 50 m / 1000 mg</t>
        </is>
      </c>
      <c r="E62" t="inlineStr">
        <is>
          <t>1000,50</t>
        </is>
      </c>
      <c r="F62" t="inlineStr">
        <is>
          <t>mg</t>
        </is>
      </c>
      <c r="G62" t="inlineStr">
        <is>
          <t>Tablet</t>
        </is>
      </c>
      <c r="H62" t="n">
        <v>60</v>
      </c>
      <c r="I62" t="n">
        <v>98.8</v>
      </c>
      <c r="J62" s="5">
        <f>IF(H62&gt;0,I62/H62,"")</f>
        <v/>
      </c>
      <c r="K62" s="5">
        <f>IF(J62="","",J62/Inputs!$B$1)</f>
        <v/>
      </c>
      <c r="L62" t="inlineStr">
        <is>
          <t>Generic or other</t>
        </is>
      </c>
      <c r="M62" t="inlineStr">
        <is>
          <t>Saudi Amarox</t>
        </is>
      </c>
      <c r="N62" t="inlineStr">
        <is>
          <t>Saudi Amarox</t>
        </is>
      </c>
      <c r="O62" t="inlineStr">
        <is>
          <t>0612222983</t>
        </is>
      </c>
    </row>
    <row r="63">
      <c r="A63" t="inlineStr">
        <is>
          <t>A10BD</t>
        </is>
      </c>
      <c r="B63" t="inlineStr">
        <is>
          <t>Diabetes combinations</t>
        </is>
      </c>
      <c r="C63" t="inlineStr">
        <is>
          <t>SITAGLIPTIN</t>
        </is>
      </c>
      <c r="D63" t="inlineStr">
        <is>
          <t>JANUMET</t>
        </is>
      </c>
      <c r="E63" t="inlineStr">
        <is>
          <t>1000,50</t>
        </is>
      </c>
      <c r="F63" t="inlineStr">
        <is>
          <t>mg</t>
        </is>
      </c>
      <c r="G63" t="inlineStr">
        <is>
          <t>Tablet</t>
        </is>
      </c>
      <c r="H63" t="n">
        <v>56</v>
      </c>
      <c r="I63" t="n">
        <v>94.7</v>
      </c>
      <c r="J63" s="5">
        <f>IF(H63&gt;0,I63/H63,"")</f>
        <v/>
      </c>
      <c r="K63" s="5">
        <f>IF(J63="","",J63/Inputs!$B$1)</f>
        <v/>
      </c>
      <c r="L63" t="inlineStr">
        <is>
          <t>MSD</t>
        </is>
      </c>
      <c r="M63" t="inlineStr">
        <is>
          <t>MERCK SHARP &amp; DOHME</t>
        </is>
      </c>
      <c r="N63" t="inlineStr">
        <is>
          <t>Farouk, Maamoun Tamer &amp; CO</t>
        </is>
      </c>
      <c r="O63" t="inlineStr">
        <is>
          <t>2501210468</t>
        </is>
      </c>
    </row>
    <row r="64">
      <c r="A64" t="inlineStr">
        <is>
          <t>A10BD</t>
        </is>
      </c>
      <c r="B64" t="inlineStr">
        <is>
          <t>Diabetes combinations</t>
        </is>
      </c>
      <c r="C64" t="inlineStr">
        <is>
          <t>SITAGLIPTIN</t>
        </is>
      </c>
      <c r="D64" t="inlineStr">
        <is>
          <t>JANUMET</t>
        </is>
      </c>
      <c r="E64" t="inlineStr">
        <is>
          <t>850,50</t>
        </is>
      </c>
      <c r="F64" t="inlineStr">
        <is>
          <t>mg</t>
        </is>
      </c>
      <c r="G64" t="inlineStr">
        <is>
          <t>Tablet</t>
        </is>
      </c>
      <c r="H64" t="n">
        <v>56</v>
      </c>
      <c r="I64" t="n">
        <v>94.7</v>
      </c>
      <c r="J64" s="5">
        <f>IF(H64&gt;0,I64/H64,"")</f>
        <v/>
      </c>
      <c r="K64" s="5">
        <f>IF(J64="","",J64/Inputs!$B$1)</f>
        <v/>
      </c>
      <c r="L64" t="inlineStr">
        <is>
          <t>MSD</t>
        </is>
      </c>
      <c r="M64" t="inlineStr">
        <is>
          <t>MERCK SHARP &amp; DOHME</t>
        </is>
      </c>
      <c r="N64" t="inlineStr">
        <is>
          <t>Farouk, Maamoun Tamer &amp; CO</t>
        </is>
      </c>
      <c r="O64" t="inlineStr">
        <is>
          <t>2501210469</t>
        </is>
      </c>
    </row>
    <row r="65">
      <c r="A65" t="inlineStr">
        <is>
          <t>A10BD</t>
        </is>
      </c>
      <c r="B65" t="inlineStr">
        <is>
          <t>Diabetes combinations</t>
        </is>
      </c>
      <c r="C65" t="inlineStr">
        <is>
          <t>SITAGLIPTIN</t>
        </is>
      </c>
      <c r="D65" t="inlineStr">
        <is>
          <t>GLIPTAMET</t>
        </is>
      </c>
      <c r="E65" t="inlineStr">
        <is>
          <t>850,50</t>
        </is>
      </c>
      <c r="F65" t="inlineStr">
        <is>
          <t>mg</t>
        </is>
      </c>
      <c r="G65" t="inlineStr">
        <is>
          <t>Film-coated tablet</t>
        </is>
      </c>
      <c r="H65" t="n">
        <v>56</v>
      </c>
      <c r="I65" t="n">
        <v>102.7</v>
      </c>
      <c r="J65" s="5">
        <f>IF(H65&gt;0,I65/H65,"")</f>
        <v/>
      </c>
      <c r="K65" s="5">
        <f>IF(J65="","",J65/Inputs!$B$1)</f>
        <v/>
      </c>
      <c r="L65" t="inlineStr">
        <is>
          <t>Generic or other</t>
        </is>
      </c>
      <c r="M65" t="inlineStr">
        <is>
          <t>SPIMACO ADDWAEIH</t>
        </is>
      </c>
      <c r="N65" t="inlineStr">
        <is>
          <t>SPIMACO</t>
        </is>
      </c>
      <c r="O65" t="inlineStr">
        <is>
          <t>2307257835</t>
        </is>
      </c>
    </row>
    <row r="66">
      <c r="A66" t="inlineStr">
        <is>
          <t>A10BD</t>
        </is>
      </c>
      <c r="B66" t="inlineStr">
        <is>
          <t>Diabetes combinations</t>
        </is>
      </c>
      <c r="C66" t="inlineStr">
        <is>
          <t>SITAGLIPTIN</t>
        </is>
      </c>
      <c r="D66" t="inlineStr">
        <is>
          <t>GLIPTAMET</t>
        </is>
      </c>
      <c r="E66" t="inlineStr">
        <is>
          <t>1000,50</t>
        </is>
      </c>
      <c r="F66" t="inlineStr">
        <is>
          <t>mg</t>
        </is>
      </c>
      <c r="G66" t="inlineStr">
        <is>
          <t>Film-coated tablet</t>
        </is>
      </c>
      <c r="H66" t="n">
        <v>56</v>
      </c>
      <c r="I66" t="n">
        <v>106.4</v>
      </c>
      <c r="J66" s="5">
        <f>IF(H66&gt;0,I66/H66,"")</f>
        <v/>
      </c>
      <c r="K66" s="5">
        <f>IF(J66="","",J66/Inputs!$B$1)</f>
        <v/>
      </c>
      <c r="L66" t="inlineStr">
        <is>
          <t>Generic or other</t>
        </is>
      </c>
      <c r="M66" t="inlineStr">
        <is>
          <t>SPIMACO ADDWAEIH</t>
        </is>
      </c>
      <c r="N66" t="inlineStr">
        <is>
          <t>SPIMACO</t>
        </is>
      </c>
      <c r="O66" t="inlineStr">
        <is>
          <t>2307257840</t>
        </is>
      </c>
    </row>
    <row r="67">
      <c r="A67" t="inlineStr">
        <is>
          <t>A10BD</t>
        </is>
      </c>
      <c r="B67" t="inlineStr">
        <is>
          <t>Diabetes combinations</t>
        </is>
      </c>
      <c r="C67" t="inlineStr">
        <is>
          <t>SITAGLIPTIN</t>
        </is>
      </c>
      <c r="D67" t="inlineStr">
        <is>
          <t>JANUMET XR</t>
        </is>
      </c>
      <c r="E67" t="inlineStr">
        <is>
          <t>500,50</t>
        </is>
      </c>
      <c r="F67" t="inlineStr">
        <is>
          <t>mg</t>
        </is>
      </c>
      <c r="G67" t="inlineStr">
        <is>
          <t>Extended-release tablet</t>
        </is>
      </c>
      <c r="H67" t="n">
        <v>56</v>
      </c>
      <c r="I67" t="n">
        <v>126.5</v>
      </c>
      <c r="J67" s="5">
        <f>IF(H67&gt;0,I67/H67,"")</f>
        <v/>
      </c>
      <c r="K67" s="5">
        <f>IF(J67="","",J67/Inputs!$B$1)</f>
        <v/>
      </c>
      <c r="L67" t="inlineStr">
        <is>
          <t>MSD</t>
        </is>
      </c>
      <c r="M67" t="inlineStr">
        <is>
          <t>MERCK SHARP AND DOHME LLC</t>
        </is>
      </c>
      <c r="N67" t="inlineStr">
        <is>
          <t>Farouk, Maamoun Tamer &amp; CO</t>
        </is>
      </c>
      <c r="O67" t="inlineStr">
        <is>
          <t>1507260127</t>
        </is>
      </c>
    </row>
    <row r="68">
      <c r="A68" t="inlineStr">
        <is>
          <t>A10BD</t>
        </is>
      </c>
      <c r="B68" t="inlineStr">
        <is>
          <t>Diabetes combinations</t>
        </is>
      </c>
      <c r="C68" t="inlineStr">
        <is>
          <t>SITAGLIPTIN</t>
        </is>
      </c>
      <c r="D68" t="inlineStr">
        <is>
          <t>JANUMET XR</t>
        </is>
      </c>
      <c r="E68" t="inlineStr">
        <is>
          <t>1000,50</t>
        </is>
      </c>
      <c r="F68" t="inlineStr">
        <is>
          <t>mg</t>
        </is>
      </c>
      <c r="G68" t="inlineStr">
        <is>
          <t>Extended-release tablet</t>
        </is>
      </c>
      <c r="H68" t="n">
        <v>56</v>
      </c>
      <c r="I68" t="n">
        <v>126.5</v>
      </c>
      <c r="J68" s="5">
        <f>IF(H68&gt;0,I68/H68,"")</f>
        <v/>
      </c>
      <c r="K68" s="5">
        <f>IF(J68="","",J68/Inputs!$B$1)</f>
        <v/>
      </c>
      <c r="L68" t="inlineStr">
        <is>
          <t>MSD</t>
        </is>
      </c>
      <c r="M68" t="inlineStr">
        <is>
          <t>MERCK SHARP AND DOHME LLC</t>
        </is>
      </c>
      <c r="N68" t="inlineStr">
        <is>
          <t>Farouk, Maamoun Tamer &amp; CO</t>
        </is>
      </c>
      <c r="O68" t="inlineStr">
        <is>
          <t>1507260125</t>
        </is>
      </c>
    </row>
    <row r="69">
      <c r="A69" t="inlineStr">
        <is>
          <t>A10BD</t>
        </is>
      </c>
      <c r="B69" t="inlineStr">
        <is>
          <t>Diabetes combinations</t>
        </is>
      </c>
      <c r="C69" t="inlineStr">
        <is>
          <t>SITAGLIPTIN</t>
        </is>
      </c>
      <c r="D69" t="inlineStr">
        <is>
          <t>JANUMET XR</t>
        </is>
      </c>
      <c r="E69" t="inlineStr">
        <is>
          <t>1000,100</t>
        </is>
      </c>
      <c r="F69" t="inlineStr">
        <is>
          <t>mg</t>
        </is>
      </c>
      <c r="G69" t="inlineStr">
        <is>
          <t>Extended-release tablet</t>
        </is>
      </c>
      <c r="H69" t="n">
        <v>28</v>
      </c>
      <c r="I69" t="n">
        <v>126.5</v>
      </c>
      <c r="J69" s="5">
        <f>IF(H69&gt;0,I69/H69,"")</f>
        <v/>
      </c>
      <c r="K69" s="5">
        <f>IF(J69="","",J69/Inputs!$B$1)</f>
        <v/>
      </c>
      <c r="L69" t="inlineStr">
        <is>
          <t>MSD</t>
        </is>
      </c>
      <c r="M69" t="inlineStr">
        <is>
          <t>MERCK SHARP AND DOHME LLC</t>
        </is>
      </c>
      <c r="N69" t="inlineStr">
        <is>
          <t>Farouk, Maamoun Tamer &amp; CO</t>
        </is>
      </c>
      <c r="O69" t="inlineStr">
        <is>
          <t>1507260126</t>
        </is>
      </c>
    </row>
    <row r="70">
      <c r="A70" t="inlineStr">
        <is>
          <t>A10BD</t>
        </is>
      </c>
      <c r="B70" t="inlineStr">
        <is>
          <t>Diabetes combinations</t>
        </is>
      </c>
      <c r="C70" t="inlineStr">
        <is>
          <t>VILDAGLIPTIN</t>
        </is>
      </c>
      <c r="D70" t="inlineStr">
        <is>
          <t>Galdiva-Met</t>
        </is>
      </c>
      <c r="E70" t="inlineStr">
        <is>
          <t>850, 50</t>
        </is>
      </c>
      <c r="F70" t="inlineStr">
        <is>
          <t>mg/mg</t>
        </is>
      </c>
      <c r="G70" t="inlineStr">
        <is>
          <t>Film-coated tablet</t>
        </is>
      </c>
      <c r="H70" t="n">
        <v>60</v>
      </c>
      <c r="I70" t="n">
        <v>80.34999999999999</v>
      </c>
      <c r="J70" s="5">
        <f>IF(H70&gt;0,I70/H70,"")</f>
        <v/>
      </c>
      <c r="K70" s="5">
        <f>IF(J70="","",J70/Inputs!$B$1)</f>
        <v/>
      </c>
      <c r="L70" t="inlineStr">
        <is>
          <t>Generic or other</t>
        </is>
      </c>
      <c r="M70" t="inlineStr">
        <is>
          <t>Kinnova manufacturing company</t>
        </is>
      </c>
      <c r="N70" t="inlineStr">
        <is>
          <t>Kinnova MED company for Distribution</t>
        </is>
      </c>
      <c r="O70" t="inlineStr">
        <is>
          <t>1407260112</t>
        </is>
      </c>
    </row>
    <row r="71">
      <c r="A71" t="inlineStr">
        <is>
          <t>A10BD</t>
        </is>
      </c>
      <c r="B71" t="inlineStr">
        <is>
          <t>Diabetes combinations</t>
        </is>
      </c>
      <c r="C71" t="inlineStr">
        <is>
          <t>VILDAGLIPTIN</t>
        </is>
      </c>
      <c r="D71" t="inlineStr">
        <is>
          <t>Galdiva-Met</t>
        </is>
      </c>
      <c r="E71" t="inlineStr">
        <is>
          <t>1000, 50</t>
        </is>
      </c>
      <c r="F71" t="inlineStr">
        <is>
          <t>mg/mg</t>
        </is>
      </c>
      <c r="G71" t="inlineStr">
        <is>
          <t>Modified-release film-coated tablet</t>
        </is>
      </c>
      <c r="H71" t="n">
        <v>60</v>
      </c>
      <c r="I71" t="n">
        <v>84.59999999999999</v>
      </c>
      <c r="J71" s="5">
        <f>IF(H71&gt;0,I71/H71,"")</f>
        <v/>
      </c>
      <c r="K71" s="5">
        <f>IF(J71="","",J71/Inputs!$B$1)</f>
        <v/>
      </c>
      <c r="L71" t="inlineStr">
        <is>
          <t>Generic or other</t>
        </is>
      </c>
      <c r="M71" t="inlineStr">
        <is>
          <t>Kinnova manufacturing company</t>
        </is>
      </c>
      <c r="N71" t="inlineStr">
        <is>
          <t>Kinnova MED company for Distribution</t>
        </is>
      </c>
      <c r="O71" t="inlineStr">
        <is>
          <t>1407260111</t>
        </is>
      </c>
    </row>
    <row r="72">
      <c r="A72" t="inlineStr">
        <is>
          <t>A10BD</t>
        </is>
      </c>
      <c r="B72" t="inlineStr">
        <is>
          <t>Diabetes combinations</t>
        </is>
      </c>
      <c r="C72" t="inlineStr">
        <is>
          <t>VILDAGLIPTIN</t>
        </is>
      </c>
      <c r="D72" t="inlineStr">
        <is>
          <t>JALRA M</t>
        </is>
      </c>
      <c r="E72" t="inlineStr">
        <is>
          <t>850,50</t>
        </is>
      </c>
      <c r="F72" t="inlineStr">
        <is>
          <t>mg</t>
        </is>
      </c>
      <c r="G72" t="inlineStr">
        <is>
          <t>Film-coated tablet</t>
        </is>
      </c>
      <c r="H72" t="n">
        <v>60</v>
      </c>
      <c r="I72" t="n">
        <v>93.7</v>
      </c>
      <c r="J72" s="5">
        <f>IF(H72&gt;0,I72/H72,"")</f>
        <v/>
      </c>
      <c r="K72" s="5">
        <f>IF(J72="","",J72/Inputs!$B$1)</f>
        <v/>
      </c>
      <c r="L72" t="inlineStr">
        <is>
          <t>Generic or other</t>
        </is>
      </c>
      <c r="M72" t="inlineStr">
        <is>
          <t>SAJA-SAUDI ARABIAN JAPANESE PHARMACEUTICAL CO</t>
        </is>
      </c>
      <c r="N72" t="inlineStr">
        <is>
          <t>Farouk, Maamoun Tamer &amp; CO</t>
        </is>
      </c>
      <c r="O72" t="inlineStr">
        <is>
          <t>0710258346</t>
        </is>
      </c>
    </row>
    <row r="73">
      <c r="A73" t="inlineStr">
        <is>
          <t>A10BD</t>
        </is>
      </c>
      <c r="B73" t="inlineStr">
        <is>
          <t>Diabetes combinations</t>
        </is>
      </c>
      <c r="C73" t="inlineStr">
        <is>
          <t>VILDAGLIPTIN</t>
        </is>
      </c>
      <c r="D73" t="inlineStr">
        <is>
          <t>JALRA M</t>
        </is>
      </c>
      <c r="E73" t="inlineStr">
        <is>
          <t>1000,50</t>
        </is>
      </c>
      <c r="F73" t="inlineStr">
        <is>
          <t>mg</t>
        </is>
      </c>
      <c r="G73" t="inlineStr">
        <is>
          <t>Film-coated tablet</t>
        </is>
      </c>
      <c r="H73" t="n">
        <v>60</v>
      </c>
      <c r="I73" t="n">
        <v>98.7</v>
      </c>
      <c r="J73" s="5">
        <f>IF(H73&gt;0,I73/H73,"")</f>
        <v/>
      </c>
      <c r="K73" s="5">
        <f>IF(J73="","",J73/Inputs!$B$1)</f>
        <v/>
      </c>
      <c r="L73" t="inlineStr">
        <is>
          <t>Generic or other</t>
        </is>
      </c>
      <c r="M73" t="inlineStr">
        <is>
          <t>SAJA-SAUDI ARABIAN JAPANESE PHARMACEUTICAL CO</t>
        </is>
      </c>
      <c r="N73" t="inlineStr">
        <is>
          <t>Saudi Arabian Japanese Pharmaceutical Co. Ltd.</t>
        </is>
      </c>
      <c r="O73" t="inlineStr">
        <is>
          <t>0710258345</t>
        </is>
      </c>
    </row>
    <row r="74">
      <c r="A74" t="inlineStr">
        <is>
          <t>A10BD</t>
        </is>
      </c>
      <c r="B74" t="inlineStr">
        <is>
          <t>Diabetes combinations</t>
        </is>
      </c>
      <c r="C74" t="inlineStr">
        <is>
          <t>VILDAGLIPTIN</t>
        </is>
      </c>
      <c r="D74" t="inlineStr">
        <is>
          <t>GALVUS MET</t>
        </is>
      </c>
      <c r="E74" t="inlineStr">
        <is>
          <t>850,50</t>
        </is>
      </c>
      <c r="F74" t="inlineStr">
        <is>
          <t>mg</t>
        </is>
      </c>
      <c r="G74" t="inlineStr">
        <is>
          <t>Film-coated tablet</t>
        </is>
      </c>
      <c r="H74" t="n">
        <v>60</v>
      </c>
      <c r="I74" t="n">
        <v>100.4</v>
      </c>
      <c r="J74" s="5">
        <f>IF(H74&gt;0,I74/H74,"")</f>
        <v/>
      </c>
      <c r="K74" s="5">
        <f>IF(J74="","",J74/Inputs!$B$1)</f>
        <v/>
      </c>
      <c r="L74" t="inlineStr">
        <is>
          <t>Originator</t>
        </is>
      </c>
      <c r="M74" t="inlineStr">
        <is>
          <t>NOVARTIS</t>
        </is>
      </c>
      <c r="N74" t="inlineStr">
        <is>
          <t>Novartis Saudi Limited</t>
        </is>
      </c>
      <c r="O74" t="inlineStr">
        <is>
          <t>1604269451</t>
        </is>
      </c>
    </row>
    <row r="75">
      <c r="A75" t="inlineStr">
        <is>
          <t>A10BD</t>
        </is>
      </c>
      <c r="B75" t="inlineStr">
        <is>
          <t>Diabetes combinations</t>
        </is>
      </c>
      <c r="C75" t="inlineStr">
        <is>
          <t>VILDAGLIPTIN</t>
        </is>
      </c>
      <c r="D75" t="inlineStr">
        <is>
          <t>GALVUS MET</t>
        </is>
      </c>
      <c r="E75" t="inlineStr">
        <is>
          <t>1000,50</t>
        </is>
      </c>
      <c r="F75" t="inlineStr">
        <is>
          <t>mg</t>
        </is>
      </c>
      <c r="G75" t="inlineStr">
        <is>
          <t>Film-coated tablet</t>
        </is>
      </c>
      <c r="H75" t="n">
        <v>60</v>
      </c>
      <c r="I75" t="n">
        <v>100.4</v>
      </c>
      <c r="J75" s="5">
        <f>IF(H75&gt;0,I75/H75,"")</f>
        <v/>
      </c>
      <c r="K75" s="5">
        <f>IF(J75="","",J75/Inputs!$B$1)</f>
        <v/>
      </c>
      <c r="L75" t="inlineStr">
        <is>
          <t>Originator</t>
        </is>
      </c>
      <c r="M75" t="inlineStr">
        <is>
          <t>NOVARTIS</t>
        </is>
      </c>
      <c r="N75" t="inlineStr">
        <is>
          <t>Novartis Saudi Limited</t>
        </is>
      </c>
      <c r="O75" t="inlineStr">
        <is>
          <t>1405269731</t>
        </is>
      </c>
    </row>
    <row r="76">
      <c r="A76" t="inlineStr">
        <is>
          <t>A10BH</t>
        </is>
      </c>
      <c r="B76" t="inlineStr">
        <is>
          <t>DPP-4 inhibitors</t>
        </is>
      </c>
      <c r="C76" t="inlineStr">
        <is>
          <t>ALOGLIPTIN</t>
        </is>
      </c>
      <c r="D76" t="inlineStr">
        <is>
          <t>ZYTERO 12.5 mg Film Coated Tablet</t>
        </is>
      </c>
      <c r="E76" t="inlineStr">
        <is>
          <t>12.5</t>
        </is>
      </c>
      <c r="F76" t="inlineStr">
        <is>
          <t>mg</t>
        </is>
      </c>
      <c r="G76" t="inlineStr">
        <is>
          <t>Film-coated tablet</t>
        </is>
      </c>
      <c r="H76" t="n">
        <v>28</v>
      </c>
      <c r="I76" t="n">
        <v>52.9</v>
      </c>
      <c r="J76" s="5">
        <f>IF(H76&gt;0,I76/H76,"")</f>
        <v/>
      </c>
      <c r="K76" s="5">
        <f>IF(J76="","",J76/Inputs!$B$1)</f>
        <v/>
      </c>
      <c r="L76" t="inlineStr">
        <is>
          <t>Generic or other</t>
        </is>
      </c>
      <c r="M76" t="inlineStr">
        <is>
          <t>BATTERJEE PHARMACETICAL FACTORY</t>
        </is>
      </c>
      <c r="N76" t="inlineStr">
        <is>
          <t>BATTERJEE PHARMACEUTICAL FACTORY</t>
        </is>
      </c>
      <c r="O76" t="inlineStr">
        <is>
          <t>0402256811</t>
        </is>
      </c>
    </row>
    <row r="77">
      <c r="A77" t="inlineStr">
        <is>
          <t>A10BH</t>
        </is>
      </c>
      <c r="B77" t="inlineStr">
        <is>
          <t>DPP-4 inhibitors</t>
        </is>
      </c>
      <c r="C77" t="inlineStr">
        <is>
          <t>ALOGLIPTIN</t>
        </is>
      </c>
      <c r="D77" t="inlineStr">
        <is>
          <t>VIPIDIA 12.5 mg film-coated tablet</t>
        </is>
      </c>
      <c r="E77" t="inlineStr">
        <is>
          <t>12.5</t>
        </is>
      </c>
      <c r="F77" t="inlineStr">
        <is>
          <t>mg</t>
        </is>
      </c>
      <c r="G77" t="inlineStr">
        <is>
          <t>Film-coated tablet</t>
        </is>
      </c>
      <c r="H77" t="n">
        <v>28</v>
      </c>
      <c r="I77" t="n">
        <v>52.9</v>
      </c>
      <c r="J77" s="5">
        <f>IF(H77&gt;0,I77/H77,"")</f>
        <v/>
      </c>
      <c r="K77" s="5">
        <f>IF(J77="","",J77/Inputs!$B$1)</f>
        <v/>
      </c>
      <c r="L77" t="inlineStr">
        <is>
          <t>Originator</t>
        </is>
      </c>
      <c r="M77" t="inlineStr">
        <is>
          <t>Jazeera Pharmaceutical Industries (JPI)</t>
        </is>
      </c>
      <c r="N77" t="inlineStr">
        <is>
          <t>Abdulrehman Algosaibi G.T.C.</t>
        </is>
      </c>
      <c r="O77" t="inlineStr">
        <is>
          <t>2201233134</t>
        </is>
      </c>
    </row>
    <row r="78">
      <c r="A78" t="inlineStr">
        <is>
          <t>A10BH</t>
        </is>
      </c>
      <c r="B78" t="inlineStr">
        <is>
          <t>DPP-4 inhibitors</t>
        </is>
      </c>
      <c r="C78" t="inlineStr">
        <is>
          <t>ALOGLIPTIN</t>
        </is>
      </c>
      <c r="D78" t="inlineStr">
        <is>
          <t>ZYTERO PLUS 12.5 mg/ 500 mg Film Coated Tablet</t>
        </is>
      </c>
      <c r="E78" t="inlineStr">
        <is>
          <t>500,12.5</t>
        </is>
      </c>
      <c r="F78" t="inlineStr">
        <is>
          <t>mg</t>
        </is>
      </c>
      <c r="G78" t="inlineStr">
        <is>
          <t>Film-coated tablet</t>
        </is>
      </c>
      <c r="H78" t="n">
        <v>56</v>
      </c>
      <c r="I78" t="n">
        <v>109.9</v>
      </c>
      <c r="J78" s="5">
        <f>IF(H78&gt;0,I78/H78,"")</f>
        <v/>
      </c>
      <c r="K78" s="5">
        <f>IF(J78="","",J78/Inputs!$B$1)</f>
        <v/>
      </c>
      <c r="L78" t="inlineStr">
        <is>
          <t>Generic or other</t>
        </is>
      </c>
      <c r="M78" t="inlineStr">
        <is>
          <t>BATTERJEE PHARMACETICAL FACTORY</t>
        </is>
      </c>
      <c r="N78" t="inlineStr">
        <is>
          <t>BATTERJEE PHARMACEUTICAL FACTORY</t>
        </is>
      </c>
      <c r="O78" t="inlineStr">
        <is>
          <t>2708258123</t>
        </is>
      </c>
    </row>
    <row r="79">
      <c r="A79" t="inlineStr">
        <is>
          <t>A10BH</t>
        </is>
      </c>
      <c r="B79" t="inlineStr">
        <is>
          <t>DPP-4 inhibitors</t>
        </is>
      </c>
      <c r="C79" t="inlineStr">
        <is>
          <t>ALOGLIPTIN</t>
        </is>
      </c>
      <c r="D79" t="inlineStr">
        <is>
          <t>ZYTERO PLUS 12.5 mg/ 1000 mg Film Coated Tablet</t>
        </is>
      </c>
      <c r="E79" t="inlineStr">
        <is>
          <t>1000,12.5</t>
        </is>
      </c>
      <c r="F79" t="inlineStr">
        <is>
          <t>mg</t>
        </is>
      </c>
      <c r="G79" t="inlineStr">
        <is>
          <t>Film-coated tablet</t>
        </is>
      </c>
      <c r="H79" t="n">
        <v>56</v>
      </c>
      <c r="I79" t="n">
        <v>117.45</v>
      </c>
      <c r="J79" s="5">
        <f>IF(H79&gt;0,I79/H79,"")</f>
        <v/>
      </c>
      <c r="K79" s="5">
        <f>IF(J79="","",J79/Inputs!$B$1)</f>
        <v/>
      </c>
      <c r="L79" t="inlineStr">
        <is>
          <t>Generic or other</t>
        </is>
      </c>
      <c r="M79" t="inlineStr">
        <is>
          <t>BATTERJEE PHARMACETICAL FACTORY</t>
        </is>
      </c>
      <c r="N79" t="inlineStr">
        <is>
          <t>BATTERJEE PHARMACEUTICAL FACTORY</t>
        </is>
      </c>
      <c r="O79" t="inlineStr">
        <is>
          <t>2708258124</t>
        </is>
      </c>
    </row>
    <row r="80">
      <c r="A80" t="inlineStr">
        <is>
          <t>A10BH</t>
        </is>
      </c>
      <c r="B80" t="inlineStr">
        <is>
          <t>DPP-4 inhibitors</t>
        </is>
      </c>
      <c r="C80" t="inlineStr">
        <is>
          <t>ALOGLIPTIN</t>
        </is>
      </c>
      <c r="D80" t="inlineStr">
        <is>
          <t>ZYTERO 25 mg Film Coated Tablet</t>
        </is>
      </c>
      <c r="E80" t="inlineStr">
        <is>
          <t>25</t>
        </is>
      </c>
      <c r="F80" t="inlineStr">
        <is>
          <t>mg</t>
        </is>
      </c>
      <c r="G80" t="inlineStr">
        <is>
          <t>Film-coated tablet</t>
        </is>
      </c>
      <c r="H80" t="n">
        <v>28</v>
      </c>
      <c r="I80" t="n">
        <v>105.85</v>
      </c>
      <c r="J80" s="5">
        <f>IF(H80&gt;0,I80/H80,"")</f>
        <v/>
      </c>
      <c r="K80" s="5">
        <f>IF(J80="","",J80/Inputs!$B$1)</f>
        <v/>
      </c>
      <c r="L80" t="inlineStr">
        <is>
          <t>Generic or other</t>
        </is>
      </c>
      <c r="M80" t="inlineStr">
        <is>
          <t>BATTERJEE PHARMACETICAL FACTORY</t>
        </is>
      </c>
      <c r="N80" t="inlineStr">
        <is>
          <t>BATTERJEE PHARMACEUTICAL FACTORY</t>
        </is>
      </c>
      <c r="O80" t="inlineStr">
        <is>
          <t>0402256810</t>
        </is>
      </c>
    </row>
    <row r="81">
      <c r="A81" t="inlineStr">
        <is>
          <t>A10BH</t>
        </is>
      </c>
      <c r="B81" t="inlineStr">
        <is>
          <t>DPP-4 inhibitors</t>
        </is>
      </c>
      <c r="C81" t="inlineStr">
        <is>
          <t>ALOGLIPTIN</t>
        </is>
      </c>
      <c r="D81" t="inlineStr">
        <is>
          <t>VIPIDIA 25 mg film-coated tablet</t>
        </is>
      </c>
      <c r="E81" t="inlineStr">
        <is>
          <t>25</t>
        </is>
      </c>
      <c r="F81" t="inlineStr">
        <is>
          <t>mg</t>
        </is>
      </c>
      <c r="G81" t="inlineStr">
        <is>
          <t>Film-coated tablet</t>
        </is>
      </c>
      <c r="H81" t="n">
        <v>28</v>
      </c>
      <c r="I81" t="n">
        <v>105.85</v>
      </c>
      <c r="J81" s="5">
        <f>IF(H81&gt;0,I81/H81,"")</f>
        <v/>
      </c>
      <c r="K81" s="5">
        <f>IF(J81="","",J81/Inputs!$B$1)</f>
        <v/>
      </c>
      <c r="L81" t="inlineStr">
        <is>
          <t>Originator</t>
        </is>
      </c>
      <c r="M81" t="inlineStr">
        <is>
          <t>Jazeera Pharmaceutical Industries (JPI)</t>
        </is>
      </c>
      <c r="N81" t="inlineStr">
        <is>
          <t>Abdulrehman Algosaibi G.T.C.</t>
        </is>
      </c>
      <c r="O81" t="inlineStr">
        <is>
          <t>2201233132</t>
        </is>
      </c>
    </row>
    <row r="82">
      <c r="A82" t="inlineStr">
        <is>
          <t>A10BH</t>
        </is>
      </c>
      <c r="B82" t="inlineStr">
        <is>
          <t>DPP-4 inhibitors</t>
        </is>
      </c>
      <c r="C82" t="inlineStr">
        <is>
          <t>LINAGLIPTIN</t>
        </is>
      </c>
      <c r="D82" t="inlineStr">
        <is>
          <t>Zylinamet</t>
        </is>
      </c>
      <c r="E82" t="inlineStr">
        <is>
          <t>2.5,500</t>
        </is>
      </c>
      <c r="F82" t="inlineStr">
        <is>
          <t>mg</t>
        </is>
      </c>
      <c r="G82" t="inlineStr">
        <is>
          <t>Film-coated tablet</t>
        </is>
      </c>
      <c r="H82" t="n">
        <v>56</v>
      </c>
      <c r="I82" t="n">
        <v>124.35</v>
      </c>
      <c r="J82" s="5">
        <f>IF(H82&gt;0,I82/H82,"")</f>
        <v/>
      </c>
      <c r="K82" s="5">
        <f>IF(J82="","",J82/Inputs!$B$1)</f>
        <v/>
      </c>
      <c r="L82" t="inlineStr">
        <is>
          <t>Generic or other</t>
        </is>
      </c>
      <c r="M82" t="inlineStr">
        <is>
          <t>Alrai Pharmaceutical industry Co. (L.L.C)</t>
        </is>
      </c>
      <c r="N82" t="inlineStr">
        <is>
          <t>ZIMMO TRADING ESTABLISHMENT</t>
        </is>
      </c>
      <c r="O82" t="inlineStr">
        <is>
          <t>1305257383</t>
        </is>
      </c>
    </row>
    <row r="83">
      <c r="A83" t="inlineStr">
        <is>
          <t>A10BH</t>
        </is>
      </c>
      <c r="B83" t="inlineStr">
        <is>
          <t>DPP-4 inhibitors</t>
        </is>
      </c>
      <c r="C83" t="inlineStr">
        <is>
          <t>LINAGLIPTIN</t>
        </is>
      </c>
      <c r="D83" t="inlineStr">
        <is>
          <t>Liptyn</t>
        </is>
      </c>
      <c r="E83" t="inlineStr">
        <is>
          <t>5</t>
        </is>
      </c>
      <c r="F83" t="inlineStr">
        <is>
          <t>mg</t>
        </is>
      </c>
      <c r="G83" t="inlineStr">
        <is>
          <t>Tablet</t>
        </is>
      </c>
      <c r="H83" t="n">
        <v>30</v>
      </c>
      <c r="I83" t="n">
        <v>68.05</v>
      </c>
      <c r="J83" s="5">
        <f>IF(H83&gt;0,I83/H83,"")</f>
        <v/>
      </c>
      <c r="K83" s="5">
        <f>IF(J83="","",J83/Inputs!$B$1)</f>
        <v/>
      </c>
      <c r="L83" t="inlineStr">
        <is>
          <t>Generic or other</t>
        </is>
      </c>
      <c r="M83" t="inlineStr">
        <is>
          <t>Saudi Amarox</t>
        </is>
      </c>
      <c r="N83" t="inlineStr">
        <is>
          <t>Saudi AmaroxFarouk, Maamoun Tamer &amp; CO</t>
        </is>
      </c>
      <c r="O83" t="inlineStr">
        <is>
          <t>1002244892</t>
        </is>
      </c>
    </row>
    <row r="84">
      <c r="A84" t="inlineStr">
        <is>
          <t>A10BH</t>
        </is>
      </c>
      <c r="B84" t="inlineStr">
        <is>
          <t>DPP-4 inhibitors</t>
        </is>
      </c>
      <c r="C84" t="inlineStr">
        <is>
          <t>LINAGLIPTIN</t>
        </is>
      </c>
      <c r="D84" t="inlineStr">
        <is>
          <t>Tralix</t>
        </is>
      </c>
      <c r="E84" t="inlineStr">
        <is>
          <t>5</t>
        </is>
      </c>
      <c r="F84" t="inlineStr">
        <is>
          <t>mg</t>
        </is>
      </c>
      <c r="G84" t="inlineStr">
        <is>
          <t>Film-coated tablet</t>
        </is>
      </c>
      <c r="H84" t="n">
        <v>30</v>
      </c>
      <c r="I84" t="n">
        <v>68.05</v>
      </c>
      <c r="J84" s="5">
        <f>IF(H84&gt;0,I84/H84,"")</f>
        <v/>
      </c>
      <c r="K84" s="5">
        <f>IF(J84="","",J84/Inputs!$B$1)</f>
        <v/>
      </c>
      <c r="L84" t="inlineStr">
        <is>
          <t>Generic or other</t>
        </is>
      </c>
      <c r="M84" t="inlineStr">
        <is>
          <t>Alrai Pharmaceutical industry Co. (L.L.C)</t>
        </is>
      </c>
      <c r="N84" t="inlineStr">
        <is>
          <t>ZIMMO TRADING ESTABLISHMENT</t>
        </is>
      </c>
      <c r="O84" t="inlineStr">
        <is>
          <t>2108245797</t>
        </is>
      </c>
    </row>
    <row r="85">
      <c r="A85" t="inlineStr">
        <is>
          <t>A10BH</t>
        </is>
      </c>
      <c r="B85" t="inlineStr">
        <is>
          <t>DPP-4 inhibitors</t>
        </is>
      </c>
      <c r="C85" t="inlineStr">
        <is>
          <t>LINAGLIPTIN</t>
        </is>
      </c>
      <c r="D85" t="inlineStr">
        <is>
          <t>Lijen</t>
        </is>
      </c>
      <c r="E85" t="inlineStr">
        <is>
          <t>5</t>
        </is>
      </c>
      <c r="F85" t="inlineStr">
        <is>
          <t>mg</t>
        </is>
      </c>
      <c r="G85" t="inlineStr">
        <is>
          <t>Film-coated tablet</t>
        </is>
      </c>
      <c r="H85" t="n">
        <v>30</v>
      </c>
      <c r="I85" t="n">
        <v>68.05</v>
      </c>
      <c r="J85" s="5">
        <f>IF(H85&gt;0,I85/H85,"")</f>
        <v/>
      </c>
      <c r="K85" s="5">
        <f>IF(J85="","",J85/Inputs!$B$1)</f>
        <v/>
      </c>
      <c r="L85" t="inlineStr">
        <is>
          <t>Generic or other</t>
        </is>
      </c>
      <c r="M85" t="inlineStr">
        <is>
          <t>Med City Pharma</t>
        </is>
      </c>
      <c r="N85" t="inlineStr">
        <is>
          <t>ZIMMO TRADING ESTABLISHMENTMed city</t>
        </is>
      </c>
      <c r="O85" t="inlineStr">
        <is>
          <t>2406257610</t>
        </is>
      </c>
    </row>
    <row r="86">
      <c r="A86" t="inlineStr">
        <is>
          <t>A10BH</t>
        </is>
      </c>
      <c r="B86" t="inlineStr">
        <is>
          <t>DPP-4 inhibitors</t>
        </is>
      </c>
      <c r="C86" t="inlineStr">
        <is>
          <t>LINAGLIPTIN</t>
        </is>
      </c>
      <c r="D86" t="inlineStr">
        <is>
          <t>Glynta</t>
        </is>
      </c>
      <c r="E86" t="inlineStr">
        <is>
          <t>5</t>
        </is>
      </c>
      <c r="F86" t="inlineStr">
        <is>
          <t>mg</t>
        </is>
      </c>
      <c r="G86" t="inlineStr">
        <is>
          <t>Film-coated tablet</t>
        </is>
      </c>
      <c r="H86" t="n">
        <v>30</v>
      </c>
      <c r="I86" t="n">
        <v>68.05</v>
      </c>
      <c r="J86" s="5">
        <f>IF(H86&gt;0,I86/H86,"")</f>
        <v/>
      </c>
      <c r="K86" s="5">
        <f>IF(J86="","",J86/Inputs!$B$1)</f>
        <v/>
      </c>
      <c r="L86" t="inlineStr">
        <is>
          <t>Generic or other</t>
        </is>
      </c>
      <c r="M86" t="inlineStr">
        <is>
          <t>SAJA-SAUDI ARABIAN JAPANESE PHARMACEUTICAL CO</t>
        </is>
      </c>
      <c r="N86" t="inlineStr">
        <is>
          <t>Farouk, Maamoun Tamer &amp; CO</t>
        </is>
      </c>
      <c r="O86" t="inlineStr">
        <is>
          <t>1407257753</t>
        </is>
      </c>
    </row>
    <row r="87">
      <c r="A87" t="inlineStr">
        <is>
          <t>A10BH</t>
        </is>
      </c>
      <c r="B87" t="inlineStr">
        <is>
          <t>DPP-4 inhibitors</t>
        </is>
      </c>
      <c r="C87" t="inlineStr">
        <is>
          <t>LINAGLIPTIN</t>
        </is>
      </c>
      <c r="D87" t="inlineStr">
        <is>
          <t>Jentarole</t>
        </is>
      </c>
      <c r="E87" t="inlineStr">
        <is>
          <t>5</t>
        </is>
      </c>
      <c r="F87" t="inlineStr">
        <is>
          <t>mg</t>
        </is>
      </c>
      <c r="G87" t="inlineStr">
        <is>
          <t>Film-coated tablet</t>
        </is>
      </c>
      <c r="H87" t="n">
        <v>30</v>
      </c>
      <c r="I87" t="n">
        <v>68.05</v>
      </c>
      <c r="J87" s="5">
        <f>IF(H87&gt;0,I87/H87,"")</f>
        <v/>
      </c>
      <c r="K87" s="5">
        <f>IF(J87="","",J87/Inputs!$B$1)</f>
        <v/>
      </c>
      <c r="L87" t="inlineStr">
        <is>
          <t>Generic or other</t>
        </is>
      </c>
      <c r="M87" t="inlineStr">
        <is>
          <t>Pharma Pharmaceutical Industries (PPI)</t>
        </is>
      </c>
      <c r="N87" t="inlineStr">
        <is>
          <t>Pharma Pharmaceutical Industries (PPI)</t>
        </is>
      </c>
      <c r="O87" t="inlineStr">
        <is>
          <t>0409258164</t>
        </is>
      </c>
    </row>
    <row r="88">
      <c r="A88" t="inlineStr">
        <is>
          <t>A10BH</t>
        </is>
      </c>
      <c r="B88" t="inlineStr">
        <is>
          <t>DPP-4 inhibitors</t>
        </is>
      </c>
      <c r="C88" t="inlineStr">
        <is>
          <t>LINAGLIPTIN</t>
        </is>
      </c>
      <c r="D88" t="inlineStr">
        <is>
          <t>Dixee</t>
        </is>
      </c>
      <c r="E88" t="inlineStr">
        <is>
          <t>5</t>
        </is>
      </c>
      <c r="F88" t="inlineStr">
        <is>
          <t>mg</t>
        </is>
      </c>
      <c r="G88" t="inlineStr">
        <is>
          <t>Film-coated tablet</t>
        </is>
      </c>
      <c r="H88" t="n">
        <v>30</v>
      </c>
      <c r="I88" t="n">
        <v>68.05</v>
      </c>
      <c r="J88" s="5">
        <f>IF(H88&gt;0,I88/H88,"")</f>
        <v/>
      </c>
      <c r="K88" s="5">
        <f>IF(J88="","",J88/Inputs!$B$1)</f>
        <v/>
      </c>
      <c r="L88" t="inlineStr">
        <is>
          <t>Generic or other</t>
        </is>
      </c>
      <c r="M88" t="inlineStr">
        <is>
          <t>MS PHARMA for Pharmaceuticals</t>
        </is>
      </c>
      <c r="N88" t="inlineStr">
        <is>
          <t>Cigalah Group</t>
        </is>
      </c>
      <c r="O88" t="inlineStr">
        <is>
          <t>0412258731</t>
        </is>
      </c>
    </row>
    <row r="89">
      <c r="A89" t="inlineStr">
        <is>
          <t>A10BH</t>
        </is>
      </c>
      <c r="B89" t="inlineStr">
        <is>
          <t>DPP-4 inhibitors</t>
        </is>
      </c>
      <c r="C89" t="inlineStr">
        <is>
          <t>LINAGLIPTIN</t>
        </is>
      </c>
      <c r="D89" t="inlineStr">
        <is>
          <t>Lynxelin</t>
        </is>
      </c>
      <c r="E89" t="inlineStr">
        <is>
          <t>5</t>
        </is>
      </c>
      <c r="F89" t="inlineStr">
        <is>
          <t>mg</t>
        </is>
      </c>
      <c r="G89" t="inlineStr">
        <is>
          <t>Film-coated tablet</t>
        </is>
      </c>
      <c r="H89" t="n">
        <v>30</v>
      </c>
      <c r="I89" t="n">
        <v>68.05</v>
      </c>
      <c r="J89" s="5">
        <f>IF(H89&gt;0,I89/H89,"")</f>
        <v/>
      </c>
      <c r="K89" s="5">
        <f>IF(J89="","",J89/Inputs!$B$1)</f>
        <v/>
      </c>
      <c r="L89" t="inlineStr">
        <is>
          <t>Generic or other</t>
        </is>
      </c>
      <c r="M89" t="inlineStr">
        <is>
          <t>Jazeera Pharmaceutical Industries (JPI)</t>
        </is>
      </c>
      <c r="N89" t="inlineStr">
        <is>
          <t>Jazeera Pharmaceutical Industries (JPI)</t>
        </is>
      </c>
      <c r="O89" t="inlineStr">
        <is>
          <t>2312258819</t>
        </is>
      </c>
    </row>
    <row r="90">
      <c r="A90" t="inlineStr">
        <is>
          <t>A10BH</t>
        </is>
      </c>
      <c r="B90" t="inlineStr">
        <is>
          <t>DPP-4 inhibitors</t>
        </is>
      </c>
      <c r="C90" t="inlineStr">
        <is>
          <t>LINAGLIPTIN</t>
        </is>
      </c>
      <c r="D90" t="inlineStr">
        <is>
          <t>Nulina</t>
        </is>
      </c>
      <c r="E90" t="inlineStr">
        <is>
          <t>5</t>
        </is>
      </c>
      <c r="F90" t="inlineStr">
        <is>
          <t>mg</t>
        </is>
      </c>
      <c r="G90" t="inlineStr">
        <is>
          <t>Film-coated tablet</t>
        </is>
      </c>
      <c r="H90" t="n">
        <v>30</v>
      </c>
      <c r="I90" t="n">
        <v>68.05</v>
      </c>
      <c r="J90" s="5">
        <f>IF(H90&gt;0,I90/H90,"")</f>
        <v/>
      </c>
      <c r="K90" s="5">
        <f>IF(J90="","",J90/Inputs!$B$1)</f>
        <v/>
      </c>
      <c r="L90" t="inlineStr">
        <is>
          <t>Generic or other</t>
        </is>
      </c>
      <c r="M90" t="inlineStr">
        <is>
          <t>DAR Al DAWA</t>
        </is>
      </c>
      <c r="N90" t="inlineStr">
        <is>
          <t>Salehiya Trading Co.</t>
        </is>
      </c>
      <c r="O90" t="inlineStr">
        <is>
          <t>2109260575</t>
        </is>
      </c>
    </row>
    <row r="91">
      <c r="A91" t="inlineStr">
        <is>
          <t>A10BH</t>
        </is>
      </c>
      <c r="B91" t="inlineStr">
        <is>
          <t>DPP-4 inhibitors</t>
        </is>
      </c>
      <c r="C91" t="inlineStr">
        <is>
          <t>LINAGLIPTIN</t>
        </is>
      </c>
      <c r="D91" t="inlineStr">
        <is>
          <t>Lijen Met</t>
        </is>
      </c>
      <c r="E91" t="inlineStr">
        <is>
          <t>2.5,850</t>
        </is>
      </c>
      <c r="F91" t="inlineStr">
        <is>
          <t>mg</t>
        </is>
      </c>
      <c r="G91" t="inlineStr">
        <is>
          <t>Film-coated tablet</t>
        </is>
      </c>
      <c r="H91" t="n">
        <v>60</v>
      </c>
      <c r="I91" t="n">
        <v>137</v>
      </c>
      <c r="J91" s="5">
        <f>IF(H91&gt;0,I91/H91,"")</f>
        <v/>
      </c>
      <c r="K91" s="5">
        <f>IF(J91="","",J91/Inputs!$B$1)</f>
        <v/>
      </c>
      <c r="L91" t="inlineStr">
        <is>
          <t>Generic or other</t>
        </is>
      </c>
      <c r="M91" t="inlineStr">
        <is>
          <t>Med City Pharma</t>
        </is>
      </c>
      <c r="N91" t="inlineStr">
        <is>
          <t>ZIMMO TRADING ESTABLISHMENTMed city</t>
        </is>
      </c>
      <c r="O91" t="inlineStr">
        <is>
          <t>1509258219</t>
        </is>
      </c>
    </row>
    <row r="92">
      <c r="A92" t="inlineStr">
        <is>
          <t>A10BH</t>
        </is>
      </c>
      <c r="B92" t="inlineStr">
        <is>
          <t>DPP-4 inhibitors</t>
        </is>
      </c>
      <c r="C92" t="inlineStr">
        <is>
          <t>LINAGLIPTIN</t>
        </is>
      </c>
      <c r="D92" t="inlineStr">
        <is>
          <t>Zylinamet</t>
        </is>
      </c>
      <c r="E92" t="inlineStr">
        <is>
          <t>2.5,850</t>
        </is>
      </c>
      <c r="F92" t="inlineStr">
        <is>
          <t>mg</t>
        </is>
      </c>
      <c r="G92" t="inlineStr">
        <is>
          <t>Film-coated tablet</t>
        </is>
      </c>
      <c r="H92" t="n">
        <v>56</v>
      </c>
      <c r="I92" t="n">
        <v>134.6</v>
      </c>
      <c r="J92" s="5">
        <f>IF(H92&gt;0,I92/H92,"")</f>
        <v/>
      </c>
      <c r="K92" s="5">
        <f>IF(J92="","",J92/Inputs!$B$1)</f>
        <v/>
      </c>
      <c r="L92" t="inlineStr">
        <is>
          <t>Generic or other</t>
        </is>
      </c>
      <c r="M92" t="inlineStr">
        <is>
          <t>Alrai Pharmaceutical industry Co. (L.L.C)</t>
        </is>
      </c>
      <c r="N92" t="inlineStr">
        <is>
          <t>ZIMMO TRADING ESTABLISHMENT</t>
        </is>
      </c>
      <c r="O92" t="inlineStr">
        <is>
          <t>1305257382</t>
        </is>
      </c>
    </row>
    <row r="93">
      <c r="A93" t="inlineStr">
        <is>
          <t>A10BH</t>
        </is>
      </c>
      <c r="B93" t="inlineStr">
        <is>
          <t>DPP-4 inhibitors</t>
        </is>
      </c>
      <c r="C93" t="inlineStr">
        <is>
          <t>LINAGLIPTIN</t>
        </is>
      </c>
      <c r="D93" t="inlineStr">
        <is>
          <t>Lijen Met</t>
        </is>
      </c>
      <c r="E93" t="inlineStr">
        <is>
          <t>2.5,1000</t>
        </is>
      </c>
      <c r="F93" t="inlineStr">
        <is>
          <t>mg</t>
        </is>
      </c>
      <c r="G93" t="inlineStr">
        <is>
          <t>Film-coated tablet</t>
        </is>
      </c>
      <c r="H93" t="n">
        <v>60</v>
      </c>
      <c r="I93" t="n">
        <v>145.45</v>
      </c>
      <c r="J93" s="5">
        <f>IF(H93&gt;0,I93/H93,"")</f>
        <v/>
      </c>
      <c r="K93" s="5">
        <f>IF(J93="","",J93/Inputs!$B$1)</f>
        <v/>
      </c>
      <c r="L93" t="inlineStr">
        <is>
          <t>Generic or other</t>
        </is>
      </c>
      <c r="M93" t="inlineStr">
        <is>
          <t>Med City Pharma</t>
        </is>
      </c>
      <c r="N93" t="inlineStr">
        <is>
          <t>ZIMMO TRADING ESTABLISHMENTMed city</t>
        </is>
      </c>
      <c r="O93" t="inlineStr">
        <is>
          <t>1509258220</t>
        </is>
      </c>
    </row>
    <row r="94">
      <c r="A94" t="inlineStr">
        <is>
          <t>A10BH</t>
        </is>
      </c>
      <c r="B94" t="inlineStr">
        <is>
          <t>DPP-4 inhibitors</t>
        </is>
      </c>
      <c r="C94" t="inlineStr">
        <is>
          <t>LINAGLIPTIN</t>
        </is>
      </c>
      <c r="D94" t="inlineStr">
        <is>
          <t>Lavinda</t>
        </is>
      </c>
      <c r="E94" t="inlineStr">
        <is>
          <t>5</t>
        </is>
      </c>
      <c r="F94" t="inlineStr">
        <is>
          <t>mg</t>
        </is>
      </c>
      <c r="G94" t="inlineStr">
        <is>
          <t>Film-coated tablet</t>
        </is>
      </c>
      <c r="H94" t="n">
        <v>30</v>
      </c>
      <c r="I94" t="n">
        <v>73.7</v>
      </c>
      <c r="J94" s="5">
        <f>IF(H94&gt;0,I94/H94,"")</f>
        <v/>
      </c>
      <c r="K94" s="5">
        <f>IF(J94="","",J94/Inputs!$B$1)</f>
        <v/>
      </c>
      <c r="L94" t="inlineStr">
        <is>
          <t>Generic or other</t>
        </is>
      </c>
      <c r="M94" t="inlineStr">
        <is>
          <t>SPIMACO ADDWAEIH</t>
        </is>
      </c>
      <c r="N94" t="inlineStr">
        <is>
          <t>Unique Treatment L.L.C</t>
        </is>
      </c>
      <c r="O94" t="inlineStr">
        <is>
          <t>0802244888</t>
        </is>
      </c>
    </row>
    <row r="95">
      <c r="A95" t="inlineStr">
        <is>
          <t>A10BH</t>
        </is>
      </c>
      <c r="B95" t="inlineStr">
        <is>
          <t>DPP-4 inhibitors</t>
        </is>
      </c>
      <c r="C95" t="inlineStr">
        <is>
          <t>LINAGLIPTIN</t>
        </is>
      </c>
      <c r="D95" t="inlineStr">
        <is>
          <t>Zylinamet</t>
        </is>
      </c>
      <c r="E95" t="inlineStr">
        <is>
          <t>2.5,1000</t>
        </is>
      </c>
      <c r="F95" t="inlineStr">
        <is>
          <t>mg</t>
        </is>
      </c>
      <c r="G95" t="inlineStr">
        <is>
          <t>Film-coated tablet</t>
        </is>
      </c>
      <c r="H95" t="n">
        <v>56</v>
      </c>
      <c r="I95" t="n">
        <v>142.9</v>
      </c>
      <c r="J95" s="5">
        <f>IF(H95&gt;0,I95/H95,"")</f>
        <v/>
      </c>
      <c r="K95" s="5">
        <f>IF(J95="","",J95/Inputs!$B$1)</f>
        <v/>
      </c>
      <c r="L95" t="inlineStr">
        <is>
          <t>Generic or other</t>
        </is>
      </c>
      <c r="M95" t="inlineStr">
        <is>
          <t>Alrai Pharmaceutical industry Co. (L.L.C)</t>
        </is>
      </c>
      <c r="N95" t="inlineStr">
        <is>
          <t>ZIMMO TRADING ESTABLISHMENT</t>
        </is>
      </c>
      <c r="O95" t="inlineStr">
        <is>
          <t>1305257381</t>
        </is>
      </c>
    </row>
    <row r="96">
      <c r="A96" t="inlineStr">
        <is>
          <t>A10BH</t>
        </is>
      </c>
      <c r="B96" t="inlineStr">
        <is>
          <t>DPP-4 inhibitors</t>
        </is>
      </c>
      <c r="C96" t="inlineStr">
        <is>
          <t>LINAGLIPTIN</t>
        </is>
      </c>
      <c r="D96" t="inlineStr">
        <is>
          <t>Lindueto XR</t>
        </is>
      </c>
      <c r="E96" t="inlineStr">
        <is>
          <t>2.5,1000</t>
        </is>
      </c>
      <c r="F96" t="inlineStr">
        <is>
          <t>mg</t>
        </is>
      </c>
      <c r="G96" t="inlineStr">
        <is>
          <t>modified-release tablet</t>
        </is>
      </c>
      <c r="H96" t="n">
        <v>28</v>
      </c>
      <c r="I96" t="n">
        <v>75.34999999999999</v>
      </c>
      <c r="J96" s="5">
        <f>IF(H96&gt;0,I96/H96,"")</f>
        <v/>
      </c>
      <c r="K96" s="5">
        <f>IF(J96="","",J96/Inputs!$B$1)</f>
        <v/>
      </c>
      <c r="L96" t="inlineStr">
        <is>
          <t>Generic or other</t>
        </is>
      </c>
      <c r="M96" t="inlineStr">
        <is>
          <t>Jamjoom Pharmaceuticals Factory Company</t>
        </is>
      </c>
      <c r="N96" t="inlineStr">
        <is>
          <t>JAMJOOM PHARMACEUTICALS CO. LTD.</t>
        </is>
      </c>
      <c r="O96" t="inlineStr">
        <is>
          <t>0604269382</t>
        </is>
      </c>
    </row>
    <row r="97">
      <c r="A97" t="inlineStr">
        <is>
          <t>A10BH</t>
        </is>
      </c>
      <c r="B97" t="inlineStr">
        <is>
          <t>DPP-4 inhibitors</t>
        </is>
      </c>
      <c r="C97" t="inlineStr">
        <is>
          <t>LINAGLIPTIN</t>
        </is>
      </c>
      <c r="D97" t="inlineStr">
        <is>
          <t>Linajent</t>
        </is>
      </c>
      <c r="E97" t="inlineStr">
        <is>
          <t>5</t>
        </is>
      </c>
      <c r="F97" t="inlineStr">
        <is>
          <t>mg</t>
        </is>
      </c>
      <c r="G97" t="inlineStr">
        <is>
          <t>Film-coated tablet</t>
        </is>
      </c>
      <c r="H97" t="n">
        <v>30</v>
      </c>
      <c r="I97" t="n">
        <v>84.84999999999999</v>
      </c>
      <c r="J97" s="5">
        <f>IF(H97&gt;0,I97/H97,"")</f>
        <v/>
      </c>
      <c r="K97" s="5">
        <f>IF(J97="","",J97/Inputs!$B$1)</f>
        <v/>
      </c>
      <c r="L97" t="inlineStr">
        <is>
          <t>Generic or other</t>
        </is>
      </c>
      <c r="M97" t="inlineStr">
        <is>
          <t>Tabuk Pharmaceutical Manufacturing Company</t>
        </is>
      </c>
      <c r="N97" t="inlineStr">
        <is>
          <t>Tabuk Pharmaceutical Manufacturing Company</t>
        </is>
      </c>
      <c r="O97" t="inlineStr">
        <is>
          <t>1703245056</t>
        </is>
      </c>
    </row>
    <row r="98">
      <c r="A98" t="inlineStr">
        <is>
          <t>A10BH</t>
        </is>
      </c>
      <c r="B98" t="inlineStr">
        <is>
          <t>DPP-4 inhibitors</t>
        </is>
      </c>
      <c r="C98" t="inlineStr">
        <is>
          <t>LINAGLIPTIN</t>
        </is>
      </c>
      <c r="D98" t="inlineStr">
        <is>
          <t>Lintra</t>
        </is>
      </c>
      <c r="E98" t="inlineStr">
        <is>
          <t>5</t>
        </is>
      </c>
      <c r="F98" t="inlineStr">
        <is>
          <t>mg</t>
        </is>
      </c>
      <c r="G98" t="inlineStr">
        <is>
          <t>Film-coated tablet</t>
        </is>
      </c>
      <c r="H98" t="n">
        <v>30</v>
      </c>
      <c r="I98" t="n">
        <v>94.8</v>
      </c>
      <c r="J98" s="5">
        <f>IF(H98&gt;0,I98/H98,"")</f>
        <v/>
      </c>
      <c r="K98" s="5">
        <f>IF(J98="","",J98/Inputs!$B$1)</f>
        <v/>
      </c>
      <c r="L98" t="inlineStr">
        <is>
          <t>Generic or other</t>
        </is>
      </c>
      <c r="M98" t="inlineStr">
        <is>
          <t>Jamjoom Pharmaceuticals Factory Company</t>
        </is>
      </c>
      <c r="N98" t="inlineStr">
        <is>
          <t>JAMJOOM PHARMACEUTICALS CO. LTD.Abdullatif Mohammed Salah Jamjoom &amp; Bros Co</t>
        </is>
      </c>
      <c r="O98" t="inlineStr">
        <is>
          <t>0901244693</t>
        </is>
      </c>
    </row>
    <row r="99">
      <c r="A99" t="inlineStr">
        <is>
          <t>A10BH</t>
        </is>
      </c>
      <c r="B99" t="inlineStr">
        <is>
          <t>DPP-4 inhibitors</t>
        </is>
      </c>
      <c r="C99" t="inlineStr">
        <is>
          <t>LINAGLIPTIN</t>
        </is>
      </c>
      <c r="D99" t="inlineStr">
        <is>
          <t>TRAJENTA 5MG FILM COATED TABLET</t>
        </is>
      </c>
      <c r="E99" t="inlineStr">
        <is>
          <t>5</t>
        </is>
      </c>
      <c r="F99" t="inlineStr">
        <is>
          <t>mg</t>
        </is>
      </c>
      <c r="G99" t="inlineStr">
        <is>
          <t>Film-coated tablet</t>
        </is>
      </c>
      <c r="H99" t="n">
        <v>30</v>
      </c>
      <c r="I99" t="n">
        <v>99.8</v>
      </c>
      <c r="J99" s="5">
        <f>IF(H99&gt;0,I99/H99,"")</f>
        <v/>
      </c>
      <c r="K99" s="5">
        <f>IF(J99="","",J99/Inputs!$B$1)</f>
        <v/>
      </c>
      <c r="L99" t="inlineStr">
        <is>
          <t>Originator</t>
        </is>
      </c>
      <c r="M99" t="inlineStr">
        <is>
          <t>BOEHRINGER INGELHEIM</t>
        </is>
      </c>
      <c r="N99" t="inlineStr">
        <is>
          <t>Cigalah Group</t>
        </is>
      </c>
      <c r="O99" t="inlineStr">
        <is>
          <t>2204257266</t>
        </is>
      </c>
    </row>
    <row r="100">
      <c r="A100" t="inlineStr">
        <is>
          <t>A10BH</t>
        </is>
      </c>
      <c r="B100" t="inlineStr">
        <is>
          <t>DPP-4 inhibitors</t>
        </is>
      </c>
      <c r="C100" t="inlineStr">
        <is>
          <t>LINAGLIPTIN</t>
        </is>
      </c>
      <c r="D100" t="inlineStr">
        <is>
          <t>Lindueto XR</t>
        </is>
      </c>
      <c r="E100" t="inlineStr">
        <is>
          <t>5,1000</t>
        </is>
      </c>
      <c r="F100" t="inlineStr">
        <is>
          <t>mg</t>
        </is>
      </c>
      <c r="G100" t="inlineStr">
        <is>
          <t>modified-release tablet</t>
        </is>
      </c>
      <c r="H100" t="n">
        <v>28</v>
      </c>
      <c r="I100" t="n">
        <v>119.6</v>
      </c>
      <c r="J100" s="5">
        <f>IF(H100&gt;0,I100/H100,"")</f>
        <v/>
      </c>
      <c r="K100" s="5">
        <f>IF(J100="","",J100/Inputs!$B$1)</f>
        <v/>
      </c>
      <c r="L100" t="inlineStr">
        <is>
          <t>Generic or other</t>
        </is>
      </c>
      <c r="M100" t="inlineStr">
        <is>
          <t>Jamjoom Pharmaceuticals Factory Company</t>
        </is>
      </c>
      <c r="N100" t="inlineStr">
        <is>
          <t>JAMJOOM PHARMACEUTICALS CO. LTD.</t>
        </is>
      </c>
      <c r="O100" t="inlineStr">
        <is>
          <t>0604269383</t>
        </is>
      </c>
    </row>
    <row r="101">
      <c r="A101" t="inlineStr">
        <is>
          <t>A10BH</t>
        </is>
      </c>
      <c r="B101" t="inlineStr">
        <is>
          <t>DPP-4 inhibitors</t>
        </is>
      </c>
      <c r="C101" t="inlineStr">
        <is>
          <t>SAXAGLIPTIN</t>
        </is>
      </c>
      <c r="D101" t="inlineStr">
        <is>
          <t>Glipza</t>
        </is>
      </c>
      <c r="E101" t="inlineStr">
        <is>
          <t>5</t>
        </is>
      </c>
      <c r="F101" t="inlineStr">
        <is>
          <t>mg</t>
        </is>
      </c>
      <c r="G101" t="inlineStr">
        <is>
          <t>Film-coated tablet</t>
        </is>
      </c>
      <c r="H101" t="n">
        <v>30</v>
      </c>
      <c r="I101" t="n">
        <v>98.25</v>
      </c>
      <c r="J101" s="5">
        <f>IF(H101&gt;0,I101/H101,"")</f>
        <v/>
      </c>
      <c r="K101" s="5">
        <f>IF(J101="","",J101/Inputs!$B$1)</f>
        <v/>
      </c>
      <c r="L101" t="inlineStr">
        <is>
          <t>Generic or other</t>
        </is>
      </c>
      <c r="M101" t="inlineStr">
        <is>
          <t>Jamjoom Pharmaceuticals Factory Company</t>
        </is>
      </c>
      <c r="N101" t="inlineStr">
        <is>
          <t>JAMJOOM PHARMACEUTICALS CO. LTD.</t>
        </is>
      </c>
      <c r="O101" t="inlineStr">
        <is>
          <t>1805269770</t>
        </is>
      </c>
    </row>
    <row r="102">
      <c r="A102" t="inlineStr">
        <is>
          <t>A10BH</t>
        </is>
      </c>
      <c r="B102" t="inlineStr">
        <is>
          <t>DPP-4 inhibitors</t>
        </is>
      </c>
      <c r="C102" t="inlineStr">
        <is>
          <t>SAXAGLIPTIN</t>
        </is>
      </c>
      <c r="D102" t="inlineStr">
        <is>
          <t>ENFORZA</t>
        </is>
      </c>
      <c r="E102" t="inlineStr">
        <is>
          <t>10,5</t>
        </is>
      </c>
      <c r="F102" t="inlineStr">
        <is>
          <t>mg</t>
        </is>
      </c>
      <c r="G102" t="inlineStr">
        <is>
          <t>Film-coated tablet</t>
        </is>
      </c>
      <c r="H102" t="n">
        <v>30</v>
      </c>
      <c r="I102" t="n">
        <v>214.75</v>
      </c>
      <c r="J102" s="5">
        <f>IF(H102&gt;0,I102/H102,"")</f>
        <v/>
      </c>
      <c r="K102" s="5">
        <f>IF(J102="","",J102/Inputs!$B$1)</f>
        <v/>
      </c>
      <c r="L102" t="inlineStr">
        <is>
          <t>Generic or other</t>
        </is>
      </c>
      <c r="M102" t="inlineStr">
        <is>
          <t>Jazeera Pharmaceutical Industries (JPI)</t>
        </is>
      </c>
      <c r="N102" t="inlineStr">
        <is>
          <t>Jazeera Pharmaceutical Industries (JPI)</t>
        </is>
      </c>
      <c r="O102" t="inlineStr">
        <is>
          <t>2607260197</t>
        </is>
      </c>
    </row>
    <row r="103">
      <c r="A103" t="inlineStr">
        <is>
          <t>A10BH</t>
        </is>
      </c>
      <c r="B103" t="inlineStr">
        <is>
          <t>DPP-4 inhibitors</t>
        </is>
      </c>
      <c r="C103" t="inlineStr">
        <is>
          <t>SITAGLIPTIN</t>
        </is>
      </c>
      <c r="D103" t="inlineStr">
        <is>
          <t>Meliglptin</t>
        </is>
      </c>
      <c r="E103" t="inlineStr">
        <is>
          <t>25</t>
        </is>
      </c>
      <c r="F103" t="inlineStr">
        <is>
          <t>mg</t>
        </is>
      </c>
      <c r="G103" t="inlineStr">
        <is>
          <t>Film-coated tablet</t>
        </is>
      </c>
      <c r="H103" t="n">
        <v>30</v>
      </c>
      <c r="I103" t="n">
        <v>22.8</v>
      </c>
      <c r="J103" s="5">
        <f>IF(H103&gt;0,I103/H103,"")</f>
        <v/>
      </c>
      <c r="K103" s="5">
        <f>IF(J103="","",J103/Inputs!$B$1)</f>
        <v/>
      </c>
      <c r="L103" t="inlineStr">
        <is>
          <t>Generic or other</t>
        </is>
      </c>
      <c r="M103" t="inlineStr">
        <is>
          <t>Saudi Amarox</t>
        </is>
      </c>
      <c r="N103" t="inlineStr">
        <is>
          <t>Saudi Amarox</t>
        </is>
      </c>
      <c r="O103" t="inlineStr">
        <is>
          <t>0112258707</t>
        </is>
      </c>
    </row>
    <row r="104">
      <c r="A104" t="inlineStr">
        <is>
          <t>A10BH</t>
        </is>
      </c>
      <c r="B104" t="inlineStr">
        <is>
          <t>DPP-4 inhibitors</t>
        </is>
      </c>
      <c r="C104" t="inlineStr">
        <is>
          <t>SITAGLIPTIN</t>
        </is>
      </c>
      <c r="D104" t="inlineStr">
        <is>
          <t>Janor</t>
        </is>
      </c>
      <c r="E104" t="inlineStr">
        <is>
          <t>25</t>
        </is>
      </c>
      <c r="F104" t="inlineStr">
        <is>
          <t>mg</t>
        </is>
      </c>
      <c r="G104" t="inlineStr">
        <is>
          <t>Film-coated tablet</t>
        </is>
      </c>
      <c r="H104" t="n">
        <v>30</v>
      </c>
      <c r="I104" t="n">
        <v>26</v>
      </c>
      <c r="J104" s="5">
        <f>IF(H104&gt;0,I104/H104,"")</f>
        <v/>
      </c>
      <c r="K104" s="5">
        <f>IF(J104="","",J104/Inputs!$B$1)</f>
        <v/>
      </c>
      <c r="L104" t="inlineStr">
        <is>
          <t>Generic or other</t>
        </is>
      </c>
      <c r="M104" t="inlineStr">
        <is>
          <t>Spectro Pharma</t>
        </is>
      </c>
      <c r="N104" t="inlineStr">
        <is>
          <t>AL-TAIF PHARMACEUTICALS COMPANY (SPECTRO PHARMA)</t>
        </is>
      </c>
      <c r="O104" t="inlineStr">
        <is>
          <t>3009260604</t>
        </is>
      </c>
    </row>
    <row r="105">
      <c r="A105" t="inlineStr">
        <is>
          <t>A10BH</t>
        </is>
      </c>
      <c r="B105" t="inlineStr">
        <is>
          <t>DPP-4 inhibitors</t>
        </is>
      </c>
      <c r="C105" t="inlineStr">
        <is>
          <t>SITAGLIPTIN</t>
        </is>
      </c>
      <c r="D105" t="inlineStr">
        <is>
          <t>Balivio</t>
        </is>
      </c>
      <c r="E105" t="inlineStr">
        <is>
          <t>25</t>
        </is>
      </c>
      <c r="F105" t="inlineStr">
        <is>
          <t>mg</t>
        </is>
      </c>
      <c r="G105" t="inlineStr">
        <is>
          <t>Film-coated tablet</t>
        </is>
      </c>
      <c r="H105" t="n">
        <v>28</v>
      </c>
      <c r="I105" t="n">
        <v>24.55</v>
      </c>
      <c r="J105" s="5">
        <f>IF(H105&gt;0,I105/H105,"")</f>
        <v/>
      </c>
      <c r="K105" s="5">
        <f>IF(J105="","",J105/Inputs!$B$1)</f>
        <v/>
      </c>
      <c r="L105" t="inlineStr">
        <is>
          <t>Generic or other</t>
        </is>
      </c>
      <c r="M105" t="inlineStr">
        <is>
          <t>Honessan Pharma</t>
        </is>
      </c>
      <c r="N105" t="inlineStr">
        <is>
          <t>ALNAGHI COMPANY</t>
        </is>
      </c>
      <c r="O105" t="inlineStr">
        <is>
          <t>1012258776</t>
        </is>
      </c>
    </row>
    <row r="106">
      <c r="A106" t="inlineStr">
        <is>
          <t>A10BH</t>
        </is>
      </c>
      <c r="B106" t="inlineStr">
        <is>
          <t>DPP-4 inhibitors</t>
        </is>
      </c>
      <c r="C106" t="inlineStr">
        <is>
          <t>SITAGLIPTIN</t>
        </is>
      </c>
      <c r="D106" t="inlineStr">
        <is>
          <t>Glytix</t>
        </is>
      </c>
      <c r="E106" t="inlineStr">
        <is>
          <t>25</t>
        </is>
      </c>
      <c r="F106" t="inlineStr">
        <is>
          <t>mg</t>
        </is>
      </c>
      <c r="G106" t="inlineStr">
        <is>
          <t>Film-coated tablet</t>
        </is>
      </c>
      <c r="H106" t="n">
        <v>28</v>
      </c>
      <c r="I106" t="n">
        <v>31.25</v>
      </c>
      <c r="J106" s="5">
        <f>IF(H106&gt;0,I106/H106,"")</f>
        <v/>
      </c>
      <c r="K106" s="5">
        <f>IF(J106="","",J106/Inputs!$B$1)</f>
        <v/>
      </c>
      <c r="L106" t="inlineStr">
        <is>
          <t>Generic or other</t>
        </is>
      </c>
      <c r="M106" t="inlineStr">
        <is>
          <t>MS PHARMA for Pharmaceuticals</t>
        </is>
      </c>
      <c r="N106" t="inlineStr">
        <is>
          <t>Cigalah Group</t>
        </is>
      </c>
      <c r="O106" t="inlineStr">
        <is>
          <t>0103269209</t>
        </is>
      </c>
    </row>
    <row r="107">
      <c r="A107" t="inlineStr">
        <is>
          <t>A10BH</t>
        </is>
      </c>
      <c r="B107" t="inlineStr">
        <is>
          <t>DPP-4 inhibitors</t>
        </is>
      </c>
      <c r="C107" t="inlineStr">
        <is>
          <t>SITAGLIPTIN</t>
        </is>
      </c>
      <c r="D107" t="inlineStr">
        <is>
          <t>Juleen</t>
        </is>
      </c>
      <c r="E107" t="inlineStr">
        <is>
          <t>25</t>
        </is>
      </c>
      <c r="F107" t="inlineStr">
        <is>
          <t>mg</t>
        </is>
      </c>
      <c r="G107" t="inlineStr">
        <is>
          <t>Film-coated tablet</t>
        </is>
      </c>
      <c r="H107" t="n">
        <v>30</v>
      </c>
      <c r="I107" t="n">
        <v>40.65</v>
      </c>
      <c r="J107" s="5">
        <f>IF(H107&gt;0,I107/H107,"")</f>
        <v/>
      </c>
      <c r="K107" s="5">
        <f>IF(J107="","",J107/Inputs!$B$1)</f>
        <v/>
      </c>
      <c r="L107" t="inlineStr">
        <is>
          <t>Generic or other</t>
        </is>
      </c>
      <c r="M107" t="inlineStr">
        <is>
          <t>SUDAIR PHARMA COMPANY</t>
        </is>
      </c>
      <c r="N107" t="inlineStr">
        <is>
          <t>SUDAIR PHARMA COMPANY</t>
        </is>
      </c>
      <c r="O107" t="inlineStr">
        <is>
          <t>2104245177</t>
        </is>
      </c>
    </row>
    <row r="108">
      <c r="A108" t="inlineStr">
        <is>
          <t>A10BH</t>
        </is>
      </c>
      <c r="B108" t="inlineStr">
        <is>
          <t>DPP-4 inhibitors</t>
        </is>
      </c>
      <c r="C108" t="inlineStr">
        <is>
          <t>SITAGLIPTIN</t>
        </is>
      </c>
      <c r="D108" t="inlineStr">
        <is>
          <t>SITAJUB</t>
        </is>
      </c>
      <c r="E108" t="inlineStr">
        <is>
          <t>25</t>
        </is>
      </c>
      <c r="F108" t="inlineStr">
        <is>
          <t>mg</t>
        </is>
      </c>
      <c r="G108" t="inlineStr">
        <is>
          <t>Film-coated tablet</t>
        </is>
      </c>
      <c r="H108" t="n">
        <v>30</v>
      </c>
      <c r="I108" t="n">
        <v>40.65</v>
      </c>
      <c r="J108" s="5">
        <f>IF(H108&gt;0,I108/H108,"")</f>
        <v/>
      </c>
      <c r="K108" s="5">
        <f>IF(J108="","",J108/Inputs!$B$1)</f>
        <v/>
      </c>
      <c r="L108" t="inlineStr">
        <is>
          <t>Generic or other</t>
        </is>
      </c>
      <c r="M108" t="inlineStr">
        <is>
          <t>Alhobail Pharm</t>
        </is>
      </c>
      <c r="N108" t="inlineStr">
        <is>
          <t>AL HOBAIL MEDICAL OFFICE COMPANY LTD.</t>
        </is>
      </c>
      <c r="O108" t="inlineStr">
        <is>
          <t>1607257763</t>
        </is>
      </c>
    </row>
    <row r="109">
      <c r="A109" t="inlineStr">
        <is>
          <t>A10BH</t>
        </is>
      </c>
      <c r="B109" t="inlineStr">
        <is>
          <t>DPP-4 inhibitors</t>
        </is>
      </c>
      <c r="C109" t="inlineStr">
        <is>
          <t>SITAGLIPTIN</t>
        </is>
      </c>
      <c r="D109" t="inlineStr">
        <is>
          <t>Wezovant</t>
        </is>
      </c>
      <c r="E109" t="inlineStr">
        <is>
          <t>25</t>
        </is>
      </c>
      <c r="F109" t="inlineStr">
        <is>
          <t>mg</t>
        </is>
      </c>
      <c r="G109" t="inlineStr">
        <is>
          <t>Film-coated tablet</t>
        </is>
      </c>
      <c r="H109" t="n">
        <v>30</v>
      </c>
      <c r="I109" t="n">
        <v>40.65</v>
      </c>
      <c r="J109" s="5">
        <f>IF(H109&gt;0,I109/H109,"")</f>
        <v/>
      </c>
      <c r="K109" s="5">
        <f>IF(J109="","",J109/Inputs!$B$1)</f>
        <v/>
      </c>
      <c r="L109" t="inlineStr">
        <is>
          <t>Generic or other</t>
        </is>
      </c>
      <c r="M109" t="inlineStr">
        <is>
          <t>KEURO LIFE LIMITED COMPANY</t>
        </is>
      </c>
      <c r="N109" t="inlineStr">
        <is>
          <t>KEURO LIFE LIMITED COMPANY</t>
        </is>
      </c>
      <c r="O109" t="inlineStr">
        <is>
          <t>1509260501</t>
        </is>
      </c>
    </row>
    <row r="110">
      <c r="A110" t="inlineStr">
        <is>
          <t>A10BH</t>
        </is>
      </c>
      <c r="B110" t="inlineStr">
        <is>
          <t>DPP-4 inhibitors</t>
        </is>
      </c>
      <c r="C110" t="inlineStr">
        <is>
          <t>SITAGLIPTIN</t>
        </is>
      </c>
      <c r="D110" t="inlineStr">
        <is>
          <t>Sitaglu</t>
        </is>
      </c>
      <c r="E110" t="inlineStr">
        <is>
          <t>25</t>
        </is>
      </c>
      <c r="F110" t="inlineStr">
        <is>
          <t>mg</t>
        </is>
      </c>
      <c r="G110" t="inlineStr">
        <is>
          <t>Film-coated tablet</t>
        </is>
      </c>
      <c r="H110" t="n">
        <v>28</v>
      </c>
      <c r="I110" t="n">
        <v>37.95</v>
      </c>
      <c r="J110" s="5">
        <f>IF(H110&gt;0,I110/H110,"")</f>
        <v/>
      </c>
      <c r="K110" s="5">
        <f>IF(J110="","",J110/Inputs!$B$1)</f>
        <v/>
      </c>
      <c r="L110" t="inlineStr">
        <is>
          <t>Generic or other</t>
        </is>
      </c>
      <c r="M110" t="inlineStr">
        <is>
          <t>Pharma Pharmaceutical Industries &amp; Biological Products (PPI)</t>
        </is>
      </c>
      <c r="N110" t="inlineStr">
        <is>
          <t>Pharma Pharmaceutical Industries (PPI)</t>
        </is>
      </c>
      <c r="O110" t="inlineStr">
        <is>
          <t>2003257119</t>
        </is>
      </c>
    </row>
    <row r="111">
      <c r="A111" t="inlineStr">
        <is>
          <t>A10BH</t>
        </is>
      </c>
      <c r="B111" t="inlineStr">
        <is>
          <t>DPP-4 inhibitors</t>
        </is>
      </c>
      <c r="C111" t="inlineStr">
        <is>
          <t>SITAGLIPTIN</t>
        </is>
      </c>
      <c r="D111" t="inlineStr">
        <is>
          <t>Sitavia-MET</t>
        </is>
      </c>
      <c r="E111" t="inlineStr">
        <is>
          <t>50,500</t>
        </is>
      </c>
      <c r="F111" t="inlineStr">
        <is>
          <t>mg</t>
        </is>
      </c>
      <c r="G111" t="inlineStr">
        <is>
          <t>Film-coated tablet</t>
        </is>
      </c>
      <c r="H111" t="n">
        <v>56</v>
      </c>
      <c r="I111" t="n">
        <v>85</v>
      </c>
      <c r="J111" s="5">
        <f>IF(H111&gt;0,I111/H111,"")</f>
        <v/>
      </c>
      <c r="K111" s="5">
        <f>IF(J111="","",J111/Inputs!$B$1)</f>
        <v/>
      </c>
      <c r="L111" t="inlineStr">
        <is>
          <t>Generic or other</t>
        </is>
      </c>
      <c r="M111" t="inlineStr">
        <is>
          <t>Middle East Pharmaceutical Industries Co Ltd Avalon Pharma</t>
        </is>
      </c>
      <c r="N111" t="inlineStr">
        <is>
          <t>Middle East Pharmaceutical Industries Co Ltd Avalon Pharma</t>
        </is>
      </c>
      <c r="O111" t="inlineStr">
        <is>
          <t>2907257880</t>
        </is>
      </c>
    </row>
    <row r="112">
      <c r="A112" t="inlineStr">
        <is>
          <t>A10BH</t>
        </is>
      </c>
      <c r="B112" t="inlineStr">
        <is>
          <t>DPP-4 inhibitors</t>
        </is>
      </c>
      <c r="C112" t="inlineStr">
        <is>
          <t>SITAGLIPTIN</t>
        </is>
      </c>
      <c r="D112" t="inlineStr">
        <is>
          <t>Meliglptin</t>
        </is>
      </c>
      <c r="E112" t="inlineStr">
        <is>
          <t>50</t>
        </is>
      </c>
      <c r="F112" t="inlineStr">
        <is>
          <t>mg</t>
        </is>
      </c>
      <c r="G112" t="inlineStr">
        <is>
          <t>Film-coated tablet</t>
        </is>
      </c>
      <c r="H112" t="n">
        <v>30</v>
      </c>
      <c r="I112" t="n">
        <v>45.6</v>
      </c>
      <c r="J112" s="5">
        <f>IF(H112&gt;0,I112/H112,"")</f>
        <v/>
      </c>
      <c r="K112" s="5">
        <f>IF(J112="","",J112/Inputs!$B$1)</f>
        <v/>
      </c>
      <c r="L112" t="inlineStr">
        <is>
          <t>Generic or other</t>
        </is>
      </c>
      <c r="M112" t="inlineStr">
        <is>
          <t>Saudi Amarox</t>
        </is>
      </c>
      <c r="N112" t="inlineStr">
        <is>
          <t>Saudi AmaroxAL-DAWAA MEDICAL SERVICES CO. LTD</t>
        </is>
      </c>
      <c r="O112" t="inlineStr">
        <is>
          <t>0412222967</t>
        </is>
      </c>
    </row>
    <row r="113">
      <c r="A113" t="inlineStr">
        <is>
          <t>A10BH</t>
        </is>
      </c>
      <c r="B113" t="inlineStr">
        <is>
          <t>DPP-4 inhibitors</t>
        </is>
      </c>
      <c r="C113" t="inlineStr">
        <is>
          <t>SITAGLIPTIN</t>
        </is>
      </c>
      <c r="D113" t="inlineStr">
        <is>
          <t>Sitfort</t>
        </is>
      </c>
      <c r="E113" t="inlineStr">
        <is>
          <t>50,850</t>
        </is>
      </c>
      <c r="F113" t="inlineStr">
        <is>
          <t>mg</t>
        </is>
      </c>
      <c r="G113" t="inlineStr">
        <is>
          <t>Film-coated tablet</t>
        </is>
      </c>
      <c r="H113" t="n">
        <v>56</v>
      </c>
      <c r="I113" t="n">
        <v>88</v>
      </c>
      <c r="J113" s="5">
        <f>IF(H113&gt;0,I113/H113,"")</f>
        <v/>
      </c>
      <c r="K113" s="5">
        <f>IF(J113="","",J113/Inputs!$B$1)</f>
        <v/>
      </c>
      <c r="L113" t="inlineStr">
        <is>
          <t>Generic or other</t>
        </is>
      </c>
      <c r="M113" t="inlineStr">
        <is>
          <t>RIYADH PHARMA</t>
        </is>
      </c>
      <c r="N113" t="inlineStr">
        <is>
          <t>RIYADH PHARMA</t>
        </is>
      </c>
      <c r="O113" t="inlineStr">
        <is>
          <t>1003257023</t>
        </is>
      </c>
    </row>
    <row r="114">
      <c r="A114" t="inlineStr">
        <is>
          <t>A10BH</t>
        </is>
      </c>
      <c r="B114" t="inlineStr">
        <is>
          <t>DPP-4 inhibitors</t>
        </is>
      </c>
      <c r="C114" t="inlineStr">
        <is>
          <t>SITAGLIPTIN</t>
        </is>
      </c>
      <c r="D114" t="inlineStr">
        <is>
          <t>Sitavia-MET</t>
        </is>
      </c>
      <c r="E114" t="inlineStr">
        <is>
          <t>50,850</t>
        </is>
      </c>
      <c r="F114" t="inlineStr">
        <is>
          <t>mg</t>
        </is>
      </c>
      <c r="G114" t="inlineStr">
        <is>
          <t>Film-coated tablet</t>
        </is>
      </c>
      <c r="H114" t="n">
        <v>56</v>
      </c>
      <c r="I114" t="n">
        <v>88</v>
      </c>
      <c r="J114" s="5">
        <f>IF(H114&gt;0,I114/H114,"")</f>
        <v/>
      </c>
      <c r="K114" s="5">
        <f>IF(J114="","",J114/Inputs!$B$1)</f>
        <v/>
      </c>
      <c r="L114" t="inlineStr">
        <is>
          <t>Generic or other</t>
        </is>
      </c>
      <c r="M114" t="inlineStr">
        <is>
          <t>Middle East Pharmaceutical Industries Co Ltd Avalon Pharma</t>
        </is>
      </c>
      <c r="N114" t="inlineStr">
        <is>
          <t>Middle East Pharmaceutical Industries Co Ltd Avalon Pharma</t>
        </is>
      </c>
      <c r="O114" t="inlineStr">
        <is>
          <t>2907257879</t>
        </is>
      </c>
    </row>
    <row r="115">
      <c r="A115" t="inlineStr">
        <is>
          <t>A10BH</t>
        </is>
      </c>
      <c r="B115" t="inlineStr">
        <is>
          <t>DPP-4 inhibitors</t>
        </is>
      </c>
      <c r="C115" t="inlineStr">
        <is>
          <t>SITAGLIPTIN</t>
        </is>
      </c>
      <c r="D115" t="inlineStr">
        <is>
          <t>Sita Plus</t>
        </is>
      </c>
      <c r="E115" t="inlineStr">
        <is>
          <t>50,850</t>
        </is>
      </c>
      <c r="F115" t="inlineStr">
        <is>
          <t>mg</t>
        </is>
      </c>
      <c r="G115" t="inlineStr">
        <is>
          <t>Film-coated tablet</t>
        </is>
      </c>
      <c r="H115" t="n">
        <v>56</v>
      </c>
      <c r="I115" t="n">
        <v>88</v>
      </c>
      <c r="J115" s="5">
        <f>IF(H115&gt;0,I115/H115,"")</f>
        <v/>
      </c>
      <c r="K115" s="5">
        <f>IF(J115="","",J115/Inputs!$B$1)</f>
        <v/>
      </c>
      <c r="L115" t="inlineStr">
        <is>
          <t>Generic or other</t>
        </is>
      </c>
      <c r="M115" t="inlineStr">
        <is>
          <t>Alrai Pharmaceutical industry Co. (L.L.C)</t>
        </is>
      </c>
      <c r="N115" t="inlineStr">
        <is>
          <t>ZIMMO TRADING ESTABLISHMENT</t>
        </is>
      </c>
      <c r="O115" t="inlineStr">
        <is>
          <t>2708258121</t>
        </is>
      </c>
    </row>
    <row r="116">
      <c r="A116" t="inlineStr">
        <is>
          <t>A10BH</t>
        </is>
      </c>
      <c r="B116" t="inlineStr">
        <is>
          <t>DPP-4 inhibitors</t>
        </is>
      </c>
      <c r="C116" t="inlineStr">
        <is>
          <t>SITAGLIPTIN</t>
        </is>
      </c>
      <c r="D116" t="inlineStr">
        <is>
          <t>Sitagia Met</t>
        </is>
      </c>
      <c r="E116" t="inlineStr">
        <is>
          <t>50,850</t>
        </is>
      </c>
      <c r="F116" t="inlineStr">
        <is>
          <t>mg</t>
        </is>
      </c>
      <c r="G116" t="inlineStr">
        <is>
          <t>Film-coated tablet</t>
        </is>
      </c>
      <c r="H116" t="n">
        <v>60</v>
      </c>
      <c r="I116" t="n">
        <v>94.3</v>
      </c>
      <c r="J116" s="5">
        <f>IF(H116&gt;0,I116/H116,"")</f>
        <v/>
      </c>
      <c r="K116" s="5">
        <f>IF(J116="","",J116/Inputs!$B$1)</f>
        <v/>
      </c>
      <c r="L116" t="inlineStr">
        <is>
          <t>Generic or other</t>
        </is>
      </c>
      <c r="M116" t="inlineStr">
        <is>
          <t>Alrazi Pharmaceutical Industries Factory Co</t>
        </is>
      </c>
      <c r="N116" t="inlineStr">
        <is>
          <t>AL RAZI PHARMA INDUSTRIES</t>
        </is>
      </c>
      <c r="O116" t="inlineStr">
        <is>
          <t>0204269372</t>
        </is>
      </c>
    </row>
    <row r="117">
      <c r="A117" t="inlineStr">
        <is>
          <t>A10BH</t>
        </is>
      </c>
      <c r="B117" t="inlineStr">
        <is>
          <t>DPP-4 inhibitors</t>
        </is>
      </c>
      <c r="C117" t="inlineStr">
        <is>
          <t>SITAGLIPTIN</t>
        </is>
      </c>
      <c r="D117" t="inlineStr">
        <is>
          <t>JANUVIA 25 mg</t>
        </is>
      </c>
      <c r="E117" t="inlineStr">
        <is>
          <t>25</t>
        </is>
      </c>
      <c r="F117" t="inlineStr">
        <is>
          <t>mg</t>
        </is>
      </c>
      <c r="G117" t="inlineStr">
        <is>
          <t>Film-coated tablet</t>
        </is>
      </c>
      <c r="H117" t="n">
        <v>28</v>
      </c>
      <c r="I117" t="n">
        <v>44.65</v>
      </c>
      <c r="J117" s="5">
        <f>IF(H117&gt;0,I117/H117,"")</f>
        <v/>
      </c>
      <c r="K117" s="5">
        <f>IF(J117="","",J117/Inputs!$B$1)</f>
        <v/>
      </c>
      <c r="L117" t="inlineStr">
        <is>
          <t>MSD</t>
        </is>
      </c>
      <c r="M117" t="inlineStr">
        <is>
          <t>MERCK SHARP &amp; DOHME</t>
        </is>
      </c>
      <c r="N117" t="inlineStr">
        <is>
          <t>Farouk, Maamoun Tamer &amp; CO</t>
        </is>
      </c>
      <c r="O117" t="inlineStr">
        <is>
          <t>1304233539</t>
        </is>
      </c>
    </row>
    <row r="118">
      <c r="A118" t="inlineStr">
        <is>
          <t>A10BH</t>
        </is>
      </c>
      <c r="B118" t="inlineStr">
        <is>
          <t>DPP-4 inhibitors</t>
        </is>
      </c>
      <c r="C118" t="inlineStr">
        <is>
          <t>SITAGLIPTIN</t>
        </is>
      </c>
      <c r="D118" t="inlineStr">
        <is>
          <t>SITAJUB</t>
        </is>
      </c>
      <c r="E118" t="inlineStr">
        <is>
          <t>50</t>
        </is>
      </c>
      <c r="F118" t="inlineStr">
        <is>
          <t>mg</t>
        </is>
      </c>
      <c r="G118" t="inlineStr">
        <is>
          <t>Film-coated tablet</t>
        </is>
      </c>
      <c r="H118" t="n">
        <v>30</v>
      </c>
      <c r="I118" t="n">
        <v>48.2</v>
      </c>
      <c r="J118" s="5">
        <f>IF(H118&gt;0,I118/H118,"")</f>
        <v/>
      </c>
      <c r="K118" s="5">
        <f>IF(J118="","",J118/Inputs!$B$1)</f>
        <v/>
      </c>
      <c r="L118" t="inlineStr">
        <is>
          <t>Generic or other</t>
        </is>
      </c>
      <c r="M118" t="inlineStr">
        <is>
          <t>Alhobail Pharm</t>
        </is>
      </c>
      <c r="N118" t="inlineStr">
        <is>
          <t>AL HOBAIL MEDICAL OFFICE COMPANY LTD.</t>
        </is>
      </c>
      <c r="O118" t="inlineStr">
        <is>
          <t>1607257761</t>
        </is>
      </c>
    </row>
    <row r="119">
      <c r="A119" t="inlineStr">
        <is>
          <t>A10BH</t>
        </is>
      </c>
      <c r="B119" t="inlineStr">
        <is>
          <t>DPP-4 inhibitors</t>
        </is>
      </c>
      <c r="C119" t="inlineStr">
        <is>
          <t>SITAGLIPTIN</t>
        </is>
      </c>
      <c r="D119" t="inlineStr">
        <is>
          <t>Janor</t>
        </is>
      </c>
      <c r="E119" t="inlineStr">
        <is>
          <t>50</t>
        </is>
      </c>
      <c r="F119" t="inlineStr">
        <is>
          <t>mg</t>
        </is>
      </c>
      <c r="G119" t="inlineStr">
        <is>
          <t>Film-coated tablet</t>
        </is>
      </c>
      <c r="H119" t="n">
        <v>30</v>
      </c>
      <c r="I119" t="n">
        <v>48.2</v>
      </c>
      <c r="J119" s="5">
        <f>IF(H119&gt;0,I119/H119,"")</f>
        <v/>
      </c>
      <c r="K119" s="5">
        <f>IF(J119="","",J119/Inputs!$B$1)</f>
        <v/>
      </c>
      <c r="L119" t="inlineStr">
        <is>
          <t>Generic or other</t>
        </is>
      </c>
      <c r="M119" t="inlineStr">
        <is>
          <t>Spectro Pharma</t>
        </is>
      </c>
      <c r="N119" t="inlineStr">
        <is>
          <t>AL-TAIF PHARMACEUTICALS COMPANY (SPECTRO PHARMA)</t>
        </is>
      </c>
      <c r="O119" t="inlineStr">
        <is>
          <t>3009260603</t>
        </is>
      </c>
    </row>
    <row r="120">
      <c r="A120" t="inlineStr">
        <is>
          <t>A10BH</t>
        </is>
      </c>
      <c r="B120" t="inlineStr">
        <is>
          <t>DPP-4 inhibitors</t>
        </is>
      </c>
      <c r="C120" t="inlineStr">
        <is>
          <t>SITAGLIPTIN</t>
        </is>
      </c>
      <c r="D120" t="inlineStr">
        <is>
          <t>Sitaglu</t>
        </is>
      </c>
      <c r="E120" t="inlineStr">
        <is>
          <t>50</t>
        </is>
      </c>
      <c r="F120" t="inlineStr">
        <is>
          <t>mg</t>
        </is>
      </c>
      <c r="G120" t="inlineStr">
        <is>
          <t>Film-coated tablet</t>
        </is>
      </c>
      <c r="H120" t="n">
        <v>28</v>
      </c>
      <c r="I120" t="n">
        <v>45</v>
      </c>
      <c r="J120" s="5">
        <f>IF(H120&gt;0,I120/H120,"")</f>
        <v/>
      </c>
      <c r="K120" s="5">
        <f>IF(J120="","",J120/Inputs!$B$1)</f>
        <v/>
      </c>
      <c r="L120" t="inlineStr">
        <is>
          <t>Generic or other</t>
        </is>
      </c>
      <c r="M120" t="inlineStr">
        <is>
          <t>Pharma Pharmaceutical Industries (PPI)</t>
        </is>
      </c>
      <c r="N120" t="inlineStr">
        <is>
          <t>Pharma Pharmaceutical Industries (PPI)</t>
        </is>
      </c>
      <c r="O120" t="inlineStr">
        <is>
          <t>2003257117</t>
        </is>
      </c>
    </row>
    <row r="121">
      <c r="A121" t="inlineStr">
        <is>
          <t>A10BH</t>
        </is>
      </c>
      <c r="B121" t="inlineStr">
        <is>
          <t>DPP-4 inhibitors</t>
        </is>
      </c>
      <c r="C121" t="inlineStr">
        <is>
          <t>SITAGLIPTIN</t>
        </is>
      </c>
      <c r="D121" t="inlineStr">
        <is>
          <t>Balivio</t>
        </is>
      </c>
      <c r="E121" t="inlineStr">
        <is>
          <t>50</t>
        </is>
      </c>
      <c r="F121" t="inlineStr">
        <is>
          <t>mg</t>
        </is>
      </c>
      <c r="G121" t="inlineStr">
        <is>
          <t>Film-coated tablet</t>
        </is>
      </c>
      <c r="H121" t="n">
        <v>28</v>
      </c>
      <c r="I121" t="n">
        <v>45</v>
      </c>
      <c r="J121" s="5">
        <f>IF(H121&gt;0,I121/H121,"")</f>
        <v/>
      </c>
      <c r="K121" s="5">
        <f>IF(J121="","",J121/Inputs!$B$1)</f>
        <v/>
      </c>
      <c r="L121" t="inlineStr">
        <is>
          <t>Generic or other</t>
        </is>
      </c>
      <c r="M121" t="inlineStr">
        <is>
          <t>Honessan Pharma</t>
        </is>
      </c>
      <c r="N121" t="inlineStr">
        <is>
          <t>ALNAGHI COMPANY</t>
        </is>
      </c>
      <c r="O121" t="inlineStr">
        <is>
          <t>1012258778</t>
        </is>
      </c>
    </row>
    <row r="122">
      <c r="A122" t="inlineStr">
        <is>
          <t>A10BH</t>
        </is>
      </c>
      <c r="B122" t="inlineStr">
        <is>
          <t>DPP-4 inhibitors</t>
        </is>
      </c>
      <c r="C122" t="inlineStr">
        <is>
          <t>SITAGLIPTIN</t>
        </is>
      </c>
      <c r="D122" t="inlineStr">
        <is>
          <t>Glytix</t>
        </is>
      </c>
      <c r="E122" t="inlineStr">
        <is>
          <t>50</t>
        </is>
      </c>
      <c r="F122" t="inlineStr">
        <is>
          <t>mg</t>
        </is>
      </c>
      <c r="G122" t="inlineStr">
        <is>
          <t>Film-coated tablet</t>
        </is>
      </c>
      <c r="H122" t="n">
        <v>28</v>
      </c>
      <c r="I122" t="n">
        <v>45</v>
      </c>
      <c r="J122" s="5">
        <f>IF(H122&gt;0,I122/H122,"")</f>
        <v/>
      </c>
      <c r="K122" s="5">
        <f>IF(J122="","",J122/Inputs!$B$1)</f>
        <v/>
      </c>
      <c r="L122" t="inlineStr">
        <is>
          <t>Generic or other</t>
        </is>
      </c>
      <c r="M122" t="inlineStr">
        <is>
          <t>MS PHARMA for Pharmaceuticals</t>
        </is>
      </c>
      <c r="N122" t="inlineStr">
        <is>
          <t>Cigalah Group</t>
        </is>
      </c>
      <c r="O122" t="inlineStr">
        <is>
          <t>0103269208</t>
        </is>
      </c>
    </row>
    <row r="123">
      <c r="A123" t="inlineStr">
        <is>
          <t>A10BH</t>
        </is>
      </c>
      <c r="B123" t="inlineStr">
        <is>
          <t>DPP-4 inhibitors</t>
        </is>
      </c>
      <c r="C123" t="inlineStr">
        <is>
          <t>SITAGLIPTIN</t>
        </is>
      </c>
      <c r="D123" t="inlineStr">
        <is>
          <t>Sitanova</t>
        </is>
      </c>
      <c r="E123" t="inlineStr">
        <is>
          <t>50</t>
        </is>
      </c>
      <c r="F123" t="inlineStr">
        <is>
          <t>mg</t>
        </is>
      </c>
      <c r="G123" t="inlineStr">
        <is>
          <t>Film-coated tablet</t>
        </is>
      </c>
      <c r="H123" t="n">
        <v>28</v>
      </c>
      <c r="I123" t="n">
        <v>45</v>
      </c>
      <c r="J123" s="5">
        <f>IF(H123&gt;0,I123/H123,"")</f>
        <v/>
      </c>
      <c r="K123" s="5">
        <f>IF(J123="","",J123/Inputs!$B$1)</f>
        <v/>
      </c>
      <c r="L123" t="inlineStr">
        <is>
          <t>Generic or other</t>
        </is>
      </c>
      <c r="M123" t="inlineStr">
        <is>
          <t>Laboratories SOTHEMA</t>
        </is>
      </c>
      <c r="N123" t="inlineStr">
        <is>
          <t>Cigalah Group</t>
        </is>
      </c>
      <c r="O123" t="inlineStr">
        <is>
          <t>0104269360</t>
        </is>
      </c>
    </row>
    <row r="124">
      <c r="A124" t="inlineStr">
        <is>
          <t>A10BH</t>
        </is>
      </c>
      <c r="B124" t="inlineStr">
        <is>
          <t>DPP-4 inhibitors</t>
        </is>
      </c>
      <c r="C124" t="inlineStr">
        <is>
          <t>SITAGLIPTIN</t>
        </is>
      </c>
      <c r="D124" t="inlineStr">
        <is>
          <t>Sitagia Met</t>
        </is>
      </c>
      <c r="E124" t="inlineStr">
        <is>
          <t>50,1000</t>
        </is>
      </c>
      <c r="F124" t="inlineStr">
        <is>
          <t>mg</t>
        </is>
      </c>
      <c r="G124" t="inlineStr">
        <is>
          <t>Film-coated tablet</t>
        </is>
      </c>
      <c r="H124" t="n">
        <v>60</v>
      </c>
      <c r="I124" t="n">
        <v>97.7</v>
      </c>
      <c r="J124" s="5">
        <f>IF(H124&gt;0,I124/H124,"")</f>
        <v/>
      </c>
      <c r="K124" s="5">
        <f>IF(J124="","",J124/Inputs!$B$1)</f>
        <v/>
      </c>
      <c r="L124" t="inlineStr">
        <is>
          <t>Generic or other</t>
        </is>
      </c>
      <c r="M124" t="inlineStr">
        <is>
          <t>Alrazi Pharmaceutical Industries Factory Co</t>
        </is>
      </c>
      <c r="N124" t="inlineStr">
        <is>
          <t>AL RAZI PHARMA INDUSTRIES</t>
        </is>
      </c>
      <c r="O124" t="inlineStr">
        <is>
          <t>0204269371</t>
        </is>
      </c>
    </row>
    <row r="125">
      <c r="A125" t="inlineStr">
        <is>
          <t>A10BH</t>
        </is>
      </c>
      <c r="B125" t="inlineStr">
        <is>
          <t>DPP-4 inhibitors</t>
        </is>
      </c>
      <c r="C125" t="inlineStr">
        <is>
          <t>SITAGLIPTIN</t>
        </is>
      </c>
      <c r="D125" t="inlineStr">
        <is>
          <t>Sitfort</t>
        </is>
      </c>
      <c r="E125" t="inlineStr">
        <is>
          <t>50,1000</t>
        </is>
      </c>
      <c r="F125" t="inlineStr">
        <is>
          <t>mg</t>
        </is>
      </c>
      <c r="G125" t="inlineStr">
        <is>
          <t>Film-coated tablet</t>
        </is>
      </c>
      <c r="H125" t="n">
        <v>56</v>
      </c>
      <c r="I125" t="n">
        <v>91.2</v>
      </c>
      <c r="J125" s="5">
        <f>IF(H125&gt;0,I125/H125,"")</f>
        <v/>
      </c>
      <c r="K125" s="5">
        <f>IF(J125="","",J125/Inputs!$B$1)</f>
        <v/>
      </c>
      <c r="L125" t="inlineStr">
        <is>
          <t>Generic or other</t>
        </is>
      </c>
      <c r="M125" t="inlineStr">
        <is>
          <t>RIYADH PHARMA</t>
        </is>
      </c>
      <c r="N125" t="inlineStr">
        <is>
          <t>RIYADH PHARMA</t>
        </is>
      </c>
      <c r="O125" t="inlineStr">
        <is>
          <t>1003257024</t>
        </is>
      </c>
    </row>
    <row r="126">
      <c r="A126" t="inlineStr">
        <is>
          <t>A10BH</t>
        </is>
      </c>
      <c r="B126" t="inlineStr">
        <is>
          <t>DPP-4 inhibitors</t>
        </is>
      </c>
      <c r="C126" t="inlineStr">
        <is>
          <t>SITAGLIPTIN</t>
        </is>
      </c>
      <c r="D126" t="inlineStr">
        <is>
          <t>Sitavia-MET</t>
        </is>
      </c>
      <c r="E126" t="inlineStr">
        <is>
          <t>50,1000</t>
        </is>
      </c>
      <c r="F126" t="inlineStr">
        <is>
          <t>mg</t>
        </is>
      </c>
      <c r="G126" t="inlineStr">
        <is>
          <t>Film-coated tablet</t>
        </is>
      </c>
      <c r="H126" t="n">
        <v>56</v>
      </c>
      <c r="I126" t="n">
        <v>91.2</v>
      </c>
      <c r="J126" s="5">
        <f>IF(H126&gt;0,I126/H126,"")</f>
        <v/>
      </c>
      <c r="K126" s="5">
        <f>IF(J126="","",J126/Inputs!$B$1)</f>
        <v/>
      </c>
      <c r="L126" t="inlineStr">
        <is>
          <t>Generic or other</t>
        </is>
      </c>
      <c r="M126" t="inlineStr">
        <is>
          <t>Middle East Pharmaceutical Industries Co Ltd Avalon Pharma</t>
        </is>
      </c>
      <c r="N126" t="inlineStr">
        <is>
          <t>Middle East Pharmaceutical Industries Co Ltd Avalon Pharma</t>
        </is>
      </c>
      <c r="O126" t="inlineStr">
        <is>
          <t>2907257878</t>
        </is>
      </c>
    </row>
    <row r="127">
      <c r="A127" t="inlineStr">
        <is>
          <t>A10BH</t>
        </is>
      </c>
      <c r="B127" t="inlineStr">
        <is>
          <t>DPP-4 inhibitors</t>
        </is>
      </c>
      <c r="C127" t="inlineStr">
        <is>
          <t>SITAGLIPTIN</t>
        </is>
      </c>
      <c r="D127" t="inlineStr">
        <is>
          <t>Sita Plus</t>
        </is>
      </c>
      <c r="E127" t="inlineStr">
        <is>
          <t>50,1000</t>
        </is>
      </c>
      <c r="F127" t="inlineStr">
        <is>
          <t>mg</t>
        </is>
      </c>
      <c r="G127" t="inlineStr">
        <is>
          <t>Film-coated tablet</t>
        </is>
      </c>
      <c r="H127" t="n">
        <v>56</v>
      </c>
      <c r="I127" t="n">
        <v>91.2</v>
      </c>
      <c r="J127" s="5">
        <f>IF(H127&gt;0,I127/H127,"")</f>
        <v/>
      </c>
      <c r="K127" s="5">
        <f>IF(J127="","",J127/Inputs!$B$1)</f>
        <v/>
      </c>
      <c r="L127" t="inlineStr">
        <is>
          <t>Generic or other</t>
        </is>
      </c>
      <c r="M127" t="inlineStr">
        <is>
          <t>Alrai Pharmaceutical industry Co. (L.L.C)</t>
        </is>
      </c>
      <c r="N127" t="inlineStr">
        <is>
          <t>ZIMMO TRADING ESTABLISHMENT</t>
        </is>
      </c>
      <c r="O127" t="inlineStr">
        <is>
          <t>2708258122</t>
        </is>
      </c>
    </row>
    <row r="128">
      <c r="A128" t="inlineStr">
        <is>
          <t>A10BH</t>
        </is>
      </c>
      <c r="B128" t="inlineStr">
        <is>
          <t>DPP-4 inhibitors</t>
        </is>
      </c>
      <c r="C128" t="inlineStr">
        <is>
          <t>SITAGLIPTIN</t>
        </is>
      </c>
      <c r="D128" t="inlineStr">
        <is>
          <t>sitaglumet</t>
        </is>
      </c>
      <c r="E128" t="inlineStr">
        <is>
          <t>50,850</t>
        </is>
      </c>
      <c r="F128" t="inlineStr">
        <is>
          <t>mg</t>
        </is>
      </c>
      <c r="G128" t="inlineStr">
        <is>
          <t>Film-coated tablet</t>
        </is>
      </c>
      <c r="H128" t="n">
        <v>56</v>
      </c>
      <c r="I128" t="n">
        <v>94.3</v>
      </c>
      <c r="J128" s="5">
        <f>IF(H128&gt;0,I128/H128,"")</f>
        <v/>
      </c>
      <c r="K128" s="5">
        <f>IF(J128="","",J128/Inputs!$B$1)</f>
        <v/>
      </c>
      <c r="L128" t="inlineStr">
        <is>
          <t>Generic or other</t>
        </is>
      </c>
      <c r="M128" t="inlineStr">
        <is>
          <t>Pharma Pharmaceutical Industries (PPI)</t>
        </is>
      </c>
      <c r="N128" t="inlineStr">
        <is>
          <t>Pharma Pharmaceutical Industries (PPI)</t>
        </is>
      </c>
      <c r="O128" t="inlineStr">
        <is>
          <t>2408258100</t>
        </is>
      </c>
    </row>
    <row r="129">
      <c r="A129" t="inlineStr">
        <is>
          <t>A10BH</t>
        </is>
      </c>
      <c r="B129" t="inlineStr">
        <is>
          <t>DPP-4 inhibitors</t>
        </is>
      </c>
      <c r="C129" t="inlineStr">
        <is>
          <t>SITAGLIPTIN</t>
        </is>
      </c>
      <c r="D129" t="inlineStr">
        <is>
          <t>sitaglumet</t>
        </is>
      </c>
      <c r="E129" t="inlineStr">
        <is>
          <t>50,1000</t>
        </is>
      </c>
      <c r="F129" t="inlineStr">
        <is>
          <t>mg</t>
        </is>
      </c>
      <c r="G129" t="inlineStr">
        <is>
          <t>Film-coated tablet</t>
        </is>
      </c>
      <c r="H129" t="n">
        <v>56</v>
      </c>
      <c r="I129" t="n">
        <v>97.7</v>
      </c>
      <c r="J129" s="5">
        <f>IF(H129&gt;0,I129/H129,"")</f>
        <v/>
      </c>
      <c r="K129" s="5">
        <f>IF(J129="","",J129/Inputs!$B$1)</f>
        <v/>
      </c>
      <c r="L129" t="inlineStr">
        <is>
          <t>Generic or other</t>
        </is>
      </c>
      <c r="M129" t="inlineStr">
        <is>
          <t>Pharma Pharmaceutical Industries (PPI)</t>
        </is>
      </c>
      <c r="N129" t="inlineStr">
        <is>
          <t>Pharma Pharmaceutical Industries (PPI)</t>
        </is>
      </c>
      <c r="O129" t="inlineStr">
        <is>
          <t>2408258099</t>
        </is>
      </c>
    </row>
    <row r="130">
      <c r="A130" t="inlineStr">
        <is>
          <t>A10BH</t>
        </is>
      </c>
      <c r="B130" t="inlineStr">
        <is>
          <t>DPP-4 inhibitors</t>
        </is>
      </c>
      <c r="C130" t="inlineStr">
        <is>
          <t>SITAGLIPTIN</t>
        </is>
      </c>
      <c r="D130" t="inlineStr">
        <is>
          <t>Sita</t>
        </is>
      </c>
      <c r="E130" t="inlineStr">
        <is>
          <t>50</t>
        </is>
      </c>
      <c r="F130" t="inlineStr">
        <is>
          <t>mg</t>
        </is>
      </c>
      <c r="G130" t="inlineStr">
        <is>
          <t>Film-coated tablet</t>
        </is>
      </c>
      <c r="H130" t="n">
        <v>30</v>
      </c>
      <c r="I130" t="n">
        <v>66.84999999999999</v>
      </c>
      <c r="J130" s="5">
        <f>IF(H130&gt;0,I130/H130,"")</f>
        <v/>
      </c>
      <c r="K130" s="5">
        <f>IF(J130="","",J130/Inputs!$B$1)</f>
        <v/>
      </c>
      <c r="L130" t="inlineStr">
        <is>
          <t>Generic or other</t>
        </is>
      </c>
      <c r="M130" t="inlineStr">
        <is>
          <t>Alrai Pharmaceutical industry Co. (L.L.C)</t>
        </is>
      </c>
      <c r="N130" t="inlineStr">
        <is>
          <t>Alrai Pharmaceutical industry Co. (L.L.C)ZIMMO TRADING ESTABLISHMENT</t>
        </is>
      </c>
      <c r="O130" t="inlineStr">
        <is>
          <t>0408245722</t>
        </is>
      </c>
    </row>
    <row r="131">
      <c r="A131" t="inlineStr">
        <is>
          <t>A10BH</t>
        </is>
      </c>
      <c r="B131" t="inlineStr">
        <is>
          <t>DPP-4 inhibitors</t>
        </is>
      </c>
      <c r="C131" t="inlineStr">
        <is>
          <t>SITAGLIPTIN</t>
        </is>
      </c>
      <c r="D131" t="inlineStr">
        <is>
          <t>Sitamend</t>
        </is>
      </c>
      <c r="E131" t="inlineStr">
        <is>
          <t>50</t>
        </is>
      </c>
      <c r="F131" t="inlineStr">
        <is>
          <t>mg</t>
        </is>
      </c>
      <c r="G131" t="inlineStr">
        <is>
          <t>Film-coated tablet</t>
        </is>
      </c>
      <c r="H131" t="n">
        <v>28</v>
      </c>
      <c r="I131" t="n">
        <v>63.5</v>
      </c>
      <c r="J131" s="5">
        <f>IF(H131&gt;0,I131/H131,"")</f>
        <v/>
      </c>
      <c r="K131" s="5">
        <f>IF(J131="","",J131/Inputs!$B$1)</f>
        <v/>
      </c>
      <c r="L131" t="inlineStr">
        <is>
          <t>Generic or other</t>
        </is>
      </c>
      <c r="M131" t="inlineStr">
        <is>
          <t>Tabuk Pharmaceutical Manufacturing Company</t>
        </is>
      </c>
      <c r="N131" t="inlineStr">
        <is>
          <t>Tabuk Pharmaceutical Manufacturing Company</t>
        </is>
      </c>
      <c r="O131" t="inlineStr">
        <is>
          <t>2602256942</t>
        </is>
      </c>
    </row>
    <row r="132">
      <c r="A132" t="inlineStr">
        <is>
          <t>A10BH</t>
        </is>
      </c>
      <c r="B132" t="inlineStr">
        <is>
          <t>DPP-4 inhibitors</t>
        </is>
      </c>
      <c r="C132" t="inlineStr">
        <is>
          <t>SITAGLIPTIN</t>
        </is>
      </c>
      <c r="D132" t="inlineStr">
        <is>
          <t>Sitagen</t>
        </is>
      </c>
      <c r="E132" t="inlineStr">
        <is>
          <t>50</t>
        </is>
      </c>
      <c r="F132" t="inlineStr">
        <is>
          <t>mg</t>
        </is>
      </c>
      <c r="G132" t="inlineStr">
        <is>
          <t>Film-coated tablet</t>
        </is>
      </c>
      <c r="H132" t="n">
        <v>30</v>
      </c>
      <c r="I132" t="n">
        <v>74.40000000000001</v>
      </c>
      <c r="J132" s="5">
        <f>IF(H132&gt;0,I132/H132,"")</f>
        <v/>
      </c>
      <c r="K132" s="5">
        <f>IF(J132="","",J132/Inputs!$B$1)</f>
        <v/>
      </c>
      <c r="L132" t="inlineStr">
        <is>
          <t>Generic or other</t>
        </is>
      </c>
      <c r="M132" t="inlineStr">
        <is>
          <t>Jamjoom Pharmaceuticals Factory Company</t>
        </is>
      </c>
      <c r="N132" t="inlineStr">
        <is>
          <t>JAMJOOM PHARMACEUTICALS CO. LTD.</t>
        </is>
      </c>
      <c r="O132" t="inlineStr">
        <is>
          <t>1406222188</t>
        </is>
      </c>
    </row>
    <row r="133">
      <c r="A133" t="inlineStr">
        <is>
          <t>A10BH</t>
        </is>
      </c>
      <c r="B133" t="inlineStr">
        <is>
          <t>DPP-4 inhibitors</t>
        </is>
      </c>
      <c r="C133" t="inlineStr">
        <is>
          <t>SITAGLIPTIN</t>
        </is>
      </c>
      <c r="D133" t="inlineStr">
        <is>
          <t>Juleen</t>
        </is>
      </c>
      <c r="E133" t="inlineStr">
        <is>
          <t>50</t>
        </is>
      </c>
      <c r="F133" t="inlineStr">
        <is>
          <t>mg</t>
        </is>
      </c>
      <c r="G133" t="inlineStr">
        <is>
          <t>Film-coated tablet</t>
        </is>
      </c>
      <c r="H133" t="n">
        <v>30</v>
      </c>
      <c r="I133" t="n">
        <v>74.40000000000001</v>
      </c>
      <c r="J133" s="5">
        <f>IF(H133&gt;0,I133/H133,"")</f>
        <v/>
      </c>
      <c r="K133" s="5">
        <f>IF(J133="","",J133/Inputs!$B$1)</f>
        <v/>
      </c>
      <c r="L133" t="inlineStr">
        <is>
          <t>Generic or other</t>
        </is>
      </c>
      <c r="M133" t="inlineStr">
        <is>
          <t>SUDAIR PHARMA COMPANY</t>
        </is>
      </c>
      <c r="N133" t="inlineStr">
        <is>
          <t>SUDAIR PHARMA COMPANY</t>
        </is>
      </c>
      <c r="O133" t="inlineStr">
        <is>
          <t>2104245179</t>
        </is>
      </c>
    </row>
    <row r="134">
      <c r="A134" t="inlineStr">
        <is>
          <t>A10BH</t>
        </is>
      </c>
      <c r="B134" t="inlineStr">
        <is>
          <t>DPP-4 inhibitors</t>
        </is>
      </c>
      <c r="C134" t="inlineStr">
        <is>
          <t>SITAGLIPTIN</t>
        </is>
      </c>
      <c r="D134" t="inlineStr">
        <is>
          <t>SITAVIA</t>
        </is>
      </c>
      <c r="E134" t="inlineStr">
        <is>
          <t>50</t>
        </is>
      </c>
      <c r="F134" t="inlineStr">
        <is>
          <t>mg</t>
        </is>
      </c>
      <c r="G134" t="inlineStr">
        <is>
          <t>Film-coated tablet</t>
        </is>
      </c>
      <c r="H134" t="n">
        <v>30</v>
      </c>
      <c r="I134" t="n">
        <v>74.40000000000001</v>
      </c>
      <c r="J134" s="5">
        <f>IF(H134&gt;0,I134/H134,"")</f>
        <v/>
      </c>
      <c r="K134" s="5">
        <f>IF(J134="","",J134/Inputs!$B$1)</f>
        <v/>
      </c>
      <c r="L134" t="inlineStr">
        <is>
          <t>Generic or other</t>
        </is>
      </c>
      <c r="M134" t="inlineStr">
        <is>
          <t>Middle East Pharmaceutical Industries Co Ltd Avalon Pharma</t>
        </is>
      </c>
      <c r="N134" t="inlineStr">
        <is>
          <t>Middle East Pharmaceutical Industries Co Ltd Avalon Pharma</t>
        </is>
      </c>
      <c r="O134" t="inlineStr">
        <is>
          <t>0708245735</t>
        </is>
      </c>
    </row>
    <row r="135">
      <c r="A135" t="inlineStr">
        <is>
          <t>A10BH</t>
        </is>
      </c>
      <c r="B135" t="inlineStr">
        <is>
          <t>DPP-4 inhibitors</t>
        </is>
      </c>
      <c r="C135" t="inlineStr">
        <is>
          <t>SITAGLIPTIN</t>
        </is>
      </c>
      <c r="D135" t="inlineStr">
        <is>
          <t>Wezovant</t>
        </is>
      </c>
      <c r="E135" t="inlineStr">
        <is>
          <t>50</t>
        </is>
      </c>
      <c r="F135" t="inlineStr">
        <is>
          <t>mg</t>
        </is>
      </c>
      <c r="G135" t="inlineStr">
        <is>
          <t>Film-coated tablet</t>
        </is>
      </c>
      <c r="H135" t="n">
        <v>30</v>
      </c>
      <c r="I135" t="n">
        <v>74.40000000000001</v>
      </c>
      <c r="J135" s="5">
        <f>IF(H135&gt;0,I135/H135,"")</f>
        <v/>
      </c>
      <c r="K135" s="5">
        <f>IF(J135="","",J135/Inputs!$B$1)</f>
        <v/>
      </c>
      <c r="L135" t="inlineStr">
        <is>
          <t>Generic or other</t>
        </is>
      </c>
      <c r="M135" t="inlineStr">
        <is>
          <t>KEURO LIFE LIMITED COMPANY</t>
        </is>
      </c>
      <c r="N135" t="inlineStr">
        <is>
          <t>KEURO LIFE LIMITED COMPANY</t>
        </is>
      </c>
      <c r="O135" t="inlineStr">
        <is>
          <t>1509260504</t>
        </is>
      </c>
    </row>
    <row r="136">
      <c r="A136" t="inlineStr">
        <is>
          <t>A10BH</t>
        </is>
      </c>
      <c r="B136" t="inlineStr">
        <is>
          <t>DPP-4 inhibitors</t>
        </is>
      </c>
      <c r="C136" t="inlineStr">
        <is>
          <t>SITAGLIPTIN</t>
        </is>
      </c>
      <c r="D136" t="inlineStr">
        <is>
          <t>Crentiva</t>
        </is>
      </c>
      <c r="E136" t="inlineStr">
        <is>
          <t>100</t>
        </is>
      </c>
      <c r="F136" t="inlineStr">
        <is>
          <t>mg</t>
        </is>
      </c>
      <c r="G136" t="inlineStr">
        <is>
          <t>Film-coated tablet</t>
        </is>
      </c>
      <c r="H136" t="n">
        <v>30</v>
      </c>
      <c r="I136" t="n">
        <v>82.15000000000001</v>
      </c>
      <c r="J136" s="5">
        <f>IF(H136&gt;0,I136/H136,"")</f>
        <v/>
      </c>
      <c r="K136" s="5">
        <f>IF(J136="","",J136/Inputs!$B$1)</f>
        <v/>
      </c>
      <c r="L136" t="inlineStr">
        <is>
          <t>Generic or other</t>
        </is>
      </c>
      <c r="M136" t="inlineStr">
        <is>
          <t>ALPHA PHARMA INDUSTRY</t>
        </is>
      </c>
      <c r="N136" t="inlineStr">
        <is>
          <t>Alpha Pharma Industry</t>
        </is>
      </c>
      <c r="O136" t="inlineStr">
        <is>
          <t>0104269351</t>
        </is>
      </c>
    </row>
    <row r="137">
      <c r="A137" t="inlineStr">
        <is>
          <t>A10BH</t>
        </is>
      </c>
      <c r="B137" t="inlineStr">
        <is>
          <t>DPP-4 inhibitors</t>
        </is>
      </c>
      <c r="C137" t="inlineStr">
        <is>
          <t>SITAGLIPTIN</t>
        </is>
      </c>
      <c r="D137" t="inlineStr">
        <is>
          <t>JANUVIA 50 mg</t>
        </is>
      </c>
      <c r="E137" t="inlineStr">
        <is>
          <t>50</t>
        </is>
      </c>
      <c r="F137" t="inlineStr">
        <is>
          <t>mg</t>
        </is>
      </c>
      <c r="G137" t="inlineStr">
        <is>
          <t>Film-coated tablet</t>
        </is>
      </c>
      <c r="H137" t="n">
        <v>28</v>
      </c>
      <c r="I137" t="n">
        <v>81.7</v>
      </c>
      <c r="J137" s="5">
        <f>IF(H137&gt;0,I137/H137,"")</f>
        <v/>
      </c>
      <c r="K137" s="5">
        <f>IF(J137="","",J137/Inputs!$B$1)</f>
        <v/>
      </c>
      <c r="L137" t="inlineStr">
        <is>
          <t>MSD</t>
        </is>
      </c>
      <c r="M137" t="inlineStr">
        <is>
          <t>MERCK SHARP &amp; DOHME</t>
        </is>
      </c>
      <c r="N137" t="inlineStr">
        <is>
          <t>Farouk, Maamoun Tamer &amp; CO</t>
        </is>
      </c>
      <c r="O137" t="inlineStr">
        <is>
          <t>1304233541</t>
        </is>
      </c>
    </row>
    <row r="138">
      <c r="A138" t="inlineStr">
        <is>
          <t>A10BH</t>
        </is>
      </c>
      <c r="B138" t="inlineStr">
        <is>
          <t>DPP-4 inhibitors</t>
        </is>
      </c>
      <c r="C138" t="inlineStr">
        <is>
          <t>SITAGLIPTIN</t>
        </is>
      </c>
      <c r="D138" t="inlineStr">
        <is>
          <t>Sitagia</t>
        </is>
      </c>
      <c r="E138" t="inlineStr">
        <is>
          <t>100</t>
        </is>
      </c>
      <c r="F138" t="inlineStr">
        <is>
          <t>mg</t>
        </is>
      </c>
      <c r="G138" t="inlineStr">
        <is>
          <t>Film-coated tablet</t>
        </is>
      </c>
      <c r="H138" t="n">
        <v>30</v>
      </c>
      <c r="I138" t="n">
        <v>87.8</v>
      </c>
      <c r="J138" s="5">
        <f>IF(H138&gt;0,I138/H138,"")</f>
        <v/>
      </c>
      <c r="K138" s="5">
        <f>IF(J138="","",J138/Inputs!$B$1)</f>
        <v/>
      </c>
      <c r="L138" t="inlineStr">
        <is>
          <t>Generic or other</t>
        </is>
      </c>
      <c r="M138" t="inlineStr">
        <is>
          <t>Alrazi Pharmaceutical Industries Factory Co</t>
        </is>
      </c>
      <c r="N138" t="inlineStr">
        <is>
          <t>AL RAZI PHARMA INDUSTRIES</t>
        </is>
      </c>
      <c r="O138" t="inlineStr">
        <is>
          <t>0107257651</t>
        </is>
      </c>
    </row>
    <row r="139">
      <c r="A139" t="inlineStr">
        <is>
          <t>A10BH</t>
        </is>
      </c>
      <c r="B139" t="inlineStr">
        <is>
          <t>DPP-4 inhibitors</t>
        </is>
      </c>
      <c r="C139" t="inlineStr">
        <is>
          <t>SITAGLIPTIN</t>
        </is>
      </c>
      <c r="D139" t="inlineStr">
        <is>
          <t>Glyci</t>
        </is>
      </c>
      <c r="E139" t="inlineStr">
        <is>
          <t>100</t>
        </is>
      </c>
      <c r="F139" t="inlineStr">
        <is>
          <t>mg</t>
        </is>
      </c>
      <c r="G139" t="inlineStr">
        <is>
          <t>Film-coated tablet</t>
        </is>
      </c>
      <c r="H139" t="n">
        <v>30</v>
      </c>
      <c r="I139" t="n">
        <v>87.8</v>
      </c>
      <c r="J139" s="5">
        <f>IF(H139&gt;0,I139/H139,"")</f>
        <v/>
      </c>
      <c r="K139" s="5">
        <f>IF(J139="","",J139/Inputs!$B$1)</f>
        <v/>
      </c>
      <c r="L139" t="inlineStr">
        <is>
          <t>Generic or other</t>
        </is>
      </c>
      <c r="M139" t="inlineStr">
        <is>
          <t>Pharco International pharmaceutical company</t>
        </is>
      </c>
      <c r="N139" t="inlineStr">
        <is>
          <t>Pharco International pharmaceutical companyCigalah Group</t>
        </is>
      </c>
      <c r="O139" t="inlineStr">
        <is>
          <t>1301268907</t>
        </is>
      </c>
    </row>
    <row r="140">
      <c r="A140" t="inlineStr">
        <is>
          <t>A10BH</t>
        </is>
      </c>
      <c r="B140" t="inlineStr">
        <is>
          <t>DPP-4 inhibitors</t>
        </is>
      </c>
      <c r="C140" t="inlineStr">
        <is>
          <t>SITAGLIPTIN</t>
        </is>
      </c>
      <c r="D140" t="inlineStr">
        <is>
          <t>Cronoxam</t>
        </is>
      </c>
      <c r="E140" t="inlineStr">
        <is>
          <t>100</t>
        </is>
      </c>
      <c r="F140" t="inlineStr">
        <is>
          <t>mg</t>
        </is>
      </c>
      <c r="G140" t="inlineStr">
        <is>
          <t>Film-coated tablet</t>
        </is>
      </c>
      <c r="H140" t="n">
        <v>28</v>
      </c>
      <c r="I140" t="n">
        <v>81.95</v>
      </c>
      <c r="J140" s="5">
        <f>IF(H140&gt;0,I140/H140,"")</f>
        <v/>
      </c>
      <c r="K140" s="5">
        <f>IF(J140="","",J140/Inputs!$B$1)</f>
        <v/>
      </c>
      <c r="L140" t="inlineStr">
        <is>
          <t>Generic or other</t>
        </is>
      </c>
      <c r="M140" t="inlineStr">
        <is>
          <t>APOTEX</t>
        </is>
      </c>
      <c r="N140" t="inlineStr">
        <is>
          <t>Cigalah Group</t>
        </is>
      </c>
      <c r="O140" t="inlineStr">
        <is>
          <t>1902256915</t>
        </is>
      </c>
    </row>
    <row r="141">
      <c r="A141" t="inlineStr">
        <is>
          <t>A10BH</t>
        </is>
      </c>
      <c r="B141" t="inlineStr">
        <is>
          <t>DPP-4 inhibitors</t>
        </is>
      </c>
      <c r="C141" t="inlineStr">
        <is>
          <t>SITAGLIPTIN</t>
        </is>
      </c>
      <c r="D141" t="inlineStr">
        <is>
          <t>Maysiglu</t>
        </is>
      </c>
      <c r="E141" t="inlineStr">
        <is>
          <t>100</t>
        </is>
      </c>
      <c r="F141" t="inlineStr">
        <is>
          <t>mg</t>
        </is>
      </c>
      <c r="G141" t="inlineStr">
        <is>
          <t>Film-coated tablet</t>
        </is>
      </c>
      <c r="H141" t="n">
        <v>28</v>
      </c>
      <c r="I141" t="n">
        <v>81.95</v>
      </c>
      <c r="J141" s="5">
        <f>IF(H141&gt;0,I141/H141,"")</f>
        <v/>
      </c>
      <c r="K141" s="5">
        <f>IF(J141="","",J141/Inputs!$B$1)</f>
        <v/>
      </c>
      <c r="L141" t="inlineStr">
        <is>
          <t>Generic or other</t>
        </is>
      </c>
      <c r="M141" t="inlineStr">
        <is>
          <t>KRKA D D NOVO MESTO</t>
        </is>
      </c>
      <c r="N141" t="inlineStr">
        <is>
          <t>DERMAZONE Est</t>
        </is>
      </c>
      <c r="O141" t="inlineStr">
        <is>
          <t>1609258225</t>
        </is>
      </c>
    </row>
    <row r="142">
      <c r="A142" t="inlineStr">
        <is>
          <t>A10BH</t>
        </is>
      </c>
      <c r="B142" t="inlineStr">
        <is>
          <t>DPP-4 inhibitors</t>
        </is>
      </c>
      <c r="C142" t="inlineStr">
        <is>
          <t>SITAGLIPTIN</t>
        </is>
      </c>
      <c r="D142" t="inlineStr">
        <is>
          <t>Janor</t>
        </is>
      </c>
      <c r="E142" t="inlineStr">
        <is>
          <t>100</t>
        </is>
      </c>
      <c r="F142" t="inlineStr">
        <is>
          <t>mg</t>
        </is>
      </c>
      <c r="G142" t="inlineStr">
        <is>
          <t>Film-coated tablet</t>
        </is>
      </c>
      <c r="H142" t="n">
        <v>100</v>
      </c>
      <c r="I142" t="n">
        <v>300.65</v>
      </c>
      <c r="J142" s="5">
        <f>IF(H142&gt;0,I142/H142,"")</f>
        <v/>
      </c>
      <c r="K142" s="5">
        <f>IF(J142="","",J142/Inputs!$B$1)</f>
        <v/>
      </c>
      <c r="L142" t="inlineStr">
        <is>
          <t>Generic or other</t>
        </is>
      </c>
      <c r="M142" t="inlineStr">
        <is>
          <t>Spectro Pharma</t>
        </is>
      </c>
      <c r="N142" t="inlineStr">
        <is>
          <t>AL-TAIF PHARMACEUTICALS COMPANY (SPECTRO PHARMA)</t>
        </is>
      </c>
      <c r="O142" t="inlineStr">
        <is>
          <t>3009260606</t>
        </is>
      </c>
    </row>
    <row r="143">
      <c r="A143" t="inlineStr">
        <is>
          <t>A10BH</t>
        </is>
      </c>
      <c r="B143" t="inlineStr">
        <is>
          <t>DPP-4 inhibitors</t>
        </is>
      </c>
      <c r="C143" t="inlineStr">
        <is>
          <t>SITAGLIPTIN</t>
        </is>
      </c>
      <c r="D143" t="inlineStr">
        <is>
          <t>Sitagen</t>
        </is>
      </c>
      <c r="E143" t="inlineStr">
        <is>
          <t>100</t>
        </is>
      </c>
      <c r="F143" t="inlineStr">
        <is>
          <t>mg</t>
        </is>
      </c>
      <c r="G143" t="inlineStr">
        <is>
          <t>Film-coated tablet</t>
        </is>
      </c>
      <c r="H143" t="n">
        <v>30</v>
      </c>
      <c r="I143" t="n">
        <v>90.2</v>
      </c>
      <c r="J143" s="5">
        <f>IF(H143&gt;0,I143/H143,"")</f>
        <v/>
      </c>
      <c r="K143" s="5">
        <f>IF(J143="","",J143/Inputs!$B$1)</f>
        <v/>
      </c>
      <c r="L143" t="inlineStr">
        <is>
          <t>Generic or other</t>
        </is>
      </c>
      <c r="M143" t="inlineStr">
        <is>
          <t>Jamjoom Pharmaceuticals Factory Company</t>
        </is>
      </c>
      <c r="N143" t="inlineStr">
        <is>
          <t>JAMJOOM PHARMACEUTICALS CO. LTD.</t>
        </is>
      </c>
      <c r="O143" t="inlineStr">
        <is>
          <t>1406222187</t>
        </is>
      </c>
    </row>
    <row r="144">
      <c r="A144" t="inlineStr">
        <is>
          <t>A10BH</t>
        </is>
      </c>
      <c r="B144" t="inlineStr">
        <is>
          <t>DPP-4 inhibitors</t>
        </is>
      </c>
      <c r="C144" t="inlineStr">
        <is>
          <t>SITAGLIPTIN</t>
        </is>
      </c>
      <c r="D144" t="inlineStr">
        <is>
          <t>Juleen</t>
        </is>
      </c>
      <c r="E144" t="inlineStr">
        <is>
          <t>100</t>
        </is>
      </c>
      <c r="F144" t="inlineStr">
        <is>
          <t>mg</t>
        </is>
      </c>
      <c r="G144" t="inlineStr">
        <is>
          <t>Film-coated tablet</t>
        </is>
      </c>
      <c r="H144" t="n">
        <v>30</v>
      </c>
      <c r="I144" t="n">
        <v>90.2</v>
      </c>
      <c r="J144" s="5">
        <f>IF(H144&gt;0,I144/H144,"")</f>
        <v/>
      </c>
      <c r="K144" s="5">
        <f>IF(J144="","",J144/Inputs!$B$1)</f>
        <v/>
      </c>
      <c r="L144" t="inlineStr">
        <is>
          <t>Generic or other</t>
        </is>
      </c>
      <c r="M144" t="inlineStr">
        <is>
          <t>SUDAIR PHARMA COMPANY</t>
        </is>
      </c>
      <c r="N144" t="inlineStr">
        <is>
          <t>SUDAIR PHARMA COMPANY</t>
        </is>
      </c>
      <c r="O144" t="inlineStr">
        <is>
          <t>2104245178</t>
        </is>
      </c>
    </row>
    <row r="145">
      <c r="A145" t="inlineStr">
        <is>
          <t>A10BH</t>
        </is>
      </c>
      <c r="B145" t="inlineStr">
        <is>
          <t>DPP-4 inhibitors</t>
        </is>
      </c>
      <c r="C145" t="inlineStr">
        <is>
          <t>SITAGLIPTIN</t>
        </is>
      </c>
      <c r="D145" t="inlineStr">
        <is>
          <t>Sita</t>
        </is>
      </c>
      <c r="E145" t="inlineStr">
        <is>
          <t>100</t>
        </is>
      </c>
      <c r="F145" t="inlineStr">
        <is>
          <t>mg</t>
        </is>
      </c>
      <c r="G145" t="inlineStr">
        <is>
          <t>Film-coated tablet</t>
        </is>
      </c>
      <c r="H145" t="n">
        <v>30</v>
      </c>
      <c r="I145" t="n">
        <v>90.2</v>
      </c>
      <c r="J145" s="5">
        <f>IF(H145&gt;0,I145/H145,"")</f>
        <v/>
      </c>
      <c r="K145" s="5">
        <f>IF(J145="","",J145/Inputs!$B$1)</f>
        <v/>
      </c>
      <c r="L145" t="inlineStr">
        <is>
          <t>Generic or other</t>
        </is>
      </c>
      <c r="M145" t="inlineStr">
        <is>
          <t>Alrai Pharmaceutical industry Co. (L.L.C)</t>
        </is>
      </c>
      <c r="N145" t="inlineStr">
        <is>
          <t>Alrai Pharmaceutical industry Co. (L.L.C)ZIMMO TRADING ESTABLISHMENT</t>
        </is>
      </c>
      <c r="O145" t="inlineStr">
        <is>
          <t>0408245723</t>
        </is>
      </c>
    </row>
    <row r="146">
      <c r="A146" t="inlineStr">
        <is>
          <t>A10BH</t>
        </is>
      </c>
      <c r="B146" t="inlineStr">
        <is>
          <t>DPP-4 inhibitors</t>
        </is>
      </c>
      <c r="C146" t="inlineStr">
        <is>
          <t>SITAGLIPTIN</t>
        </is>
      </c>
      <c r="D146" t="inlineStr">
        <is>
          <t>SITAVIA</t>
        </is>
      </c>
      <c r="E146" t="inlineStr">
        <is>
          <t>100</t>
        </is>
      </c>
      <c r="F146" t="inlineStr">
        <is>
          <t>mg</t>
        </is>
      </c>
      <c r="G146" t="inlineStr">
        <is>
          <t>Film-coated tablet</t>
        </is>
      </c>
      <c r="H146" t="n">
        <v>30</v>
      </c>
      <c r="I146" t="n">
        <v>90.2</v>
      </c>
      <c r="J146" s="5">
        <f>IF(H146&gt;0,I146/H146,"")</f>
        <v/>
      </c>
      <c r="K146" s="5">
        <f>IF(J146="","",J146/Inputs!$B$1)</f>
        <v/>
      </c>
      <c r="L146" t="inlineStr">
        <is>
          <t>Generic or other</t>
        </is>
      </c>
      <c r="M146" t="inlineStr">
        <is>
          <t>Middle East Pharmaceutical Industries Co Ltd Avalon Pharma</t>
        </is>
      </c>
      <c r="N146" t="inlineStr">
        <is>
          <t>Middle East Pharmaceutical Industries Co Ltd Avalon Pharma</t>
        </is>
      </c>
      <c r="O146" t="inlineStr">
        <is>
          <t>0708245736</t>
        </is>
      </c>
    </row>
    <row r="147">
      <c r="A147" t="inlineStr">
        <is>
          <t>A10BH</t>
        </is>
      </c>
      <c r="B147" t="inlineStr">
        <is>
          <t>DPP-4 inhibitors</t>
        </is>
      </c>
      <c r="C147" t="inlineStr">
        <is>
          <t>SITAGLIPTIN</t>
        </is>
      </c>
      <c r="D147" t="inlineStr">
        <is>
          <t>SITAJUB</t>
        </is>
      </c>
      <c r="E147" t="inlineStr">
        <is>
          <t>100</t>
        </is>
      </c>
      <c r="F147" t="inlineStr">
        <is>
          <t>mg</t>
        </is>
      </c>
      <c r="G147" t="inlineStr">
        <is>
          <t>Tablet</t>
        </is>
      </c>
      <c r="H147" t="n">
        <v>30</v>
      </c>
      <c r="I147" t="n">
        <v>90.2</v>
      </c>
      <c r="J147" s="5">
        <f>IF(H147&gt;0,I147/H147,"")</f>
        <v/>
      </c>
      <c r="K147" s="5">
        <f>IF(J147="","",J147/Inputs!$B$1)</f>
        <v/>
      </c>
      <c r="L147" t="inlineStr">
        <is>
          <t>Generic or other</t>
        </is>
      </c>
      <c r="M147" t="inlineStr">
        <is>
          <t>Alhobail Pharm</t>
        </is>
      </c>
      <c r="N147" t="inlineStr">
        <is>
          <t>AL HOBAIL MEDICAL OFFICE COMPANY LTD.</t>
        </is>
      </c>
      <c r="O147" t="inlineStr">
        <is>
          <t>1607257762</t>
        </is>
      </c>
    </row>
    <row r="148">
      <c r="A148" t="inlineStr">
        <is>
          <t>A10BH</t>
        </is>
      </c>
      <c r="B148" t="inlineStr">
        <is>
          <t>DPP-4 inhibitors</t>
        </is>
      </c>
      <c r="C148" t="inlineStr">
        <is>
          <t>SITAGLIPTIN</t>
        </is>
      </c>
      <c r="D148" t="inlineStr">
        <is>
          <t>Glyptinova</t>
        </is>
      </c>
      <c r="E148" t="inlineStr">
        <is>
          <t>100</t>
        </is>
      </c>
      <c r="F148" t="inlineStr">
        <is>
          <t>mg</t>
        </is>
      </c>
      <c r="G148" t="inlineStr">
        <is>
          <t>Film-coated tablet</t>
        </is>
      </c>
      <c r="H148" t="n">
        <v>30</v>
      </c>
      <c r="I148" t="n">
        <v>90.2</v>
      </c>
      <c r="J148" s="5">
        <f>IF(H148&gt;0,I148/H148,"")</f>
        <v/>
      </c>
      <c r="K148" s="5">
        <f>IF(J148="","",J148/Inputs!$B$1)</f>
        <v/>
      </c>
      <c r="L148" t="inlineStr">
        <is>
          <t>Generic or other</t>
        </is>
      </c>
      <c r="M148" t="inlineStr">
        <is>
          <t>Kinnova manufacturing company</t>
        </is>
      </c>
      <c r="N148" t="inlineStr">
        <is>
          <t>Soul PharmaKinnova MED company for Distribution</t>
        </is>
      </c>
      <c r="O148" t="inlineStr">
        <is>
          <t>0705269619</t>
        </is>
      </c>
    </row>
    <row r="149">
      <c r="A149" t="inlineStr">
        <is>
          <t>A10BH</t>
        </is>
      </c>
      <c r="B149" t="inlineStr">
        <is>
          <t>DPP-4 inhibitors</t>
        </is>
      </c>
      <c r="C149" t="inlineStr">
        <is>
          <t>SITAGLIPTIN</t>
        </is>
      </c>
      <c r="D149" t="inlineStr">
        <is>
          <t>Wezovant</t>
        </is>
      </c>
      <c r="E149" t="inlineStr">
        <is>
          <t>100</t>
        </is>
      </c>
      <c r="F149" t="inlineStr">
        <is>
          <t>mg</t>
        </is>
      </c>
      <c r="G149" t="inlineStr">
        <is>
          <t>Film-coated tablet</t>
        </is>
      </c>
      <c r="H149" t="n">
        <v>30</v>
      </c>
      <c r="I149" t="n">
        <v>90.2</v>
      </c>
      <c r="J149" s="5">
        <f>IF(H149&gt;0,I149/H149,"")</f>
        <v/>
      </c>
      <c r="K149" s="5">
        <f>IF(J149="","",J149/Inputs!$B$1)</f>
        <v/>
      </c>
      <c r="L149" t="inlineStr">
        <is>
          <t>Generic or other</t>
        </is>
      </c>
      <c r="M149" t="inlineStr">
        <is>
          <t>KEURO LIFE LIMITED COMPANY</t>
        </is>
      </c>
      <c r="N149" t="inlineStr">
        <is>
          <t>KEURO LIFE LIMITED COMPANY</t>
        </is>
      </c>
      <c r="O149" t="inlineStr">
        <is>
          <t>1509260503</t>
        </is>
      </c>
    </row>
    <row r="150">
      <c r="A150" t="inlineStr">
        <is>
          <t>A10BH</t>
        </is>
      </c>
      <c r="B150" t="inlineStr">
        <is>
          <t>DPP-4 inhibitors</t>
        </is>
      </c>
      <c r="C150" t="inlineStr">
        <is>
          <t>SITAGLIPTIN</t>
        </is>
      </c>
      <c r="D150" t="inlineStr">
        <is>
          <t>Janor</t>
        </is>
      </c>
      <c r="E150" t="inlineStr">
        <is>
          <t>100</t>
        </is>
      </c>
      <c r="F150" t="inlineStr">
        <is>
          <t>mg</t>
        </is>
      </c>
      <c r="G150" t="inlineStr">
        <is>
          <t>Film-coated tablet</t>
        </is>
      </c>
      <c r="H150" t="n">
        <v>30</v>
      </c>
      <c r="I150" t="n">
        <v>90.2</v>
      </c>
      <c r="J150" s="5">
        <f>IF(H150&gt;0,I150/H150,"")</f>
        <v/>
      </c>
      <c r="K150" s="5">
        <f>IF(J150="","",J150/Inputs!$B$1)</f>
        <v/>
      </c>
      <c r="L150" t="inlineStr">
        <is>
          <t>Generic or other</t>
        </is>
      </c>
      <c r="M150" t="inlineStr">
        <is>
          <t>Spectro Pharma</t>
        </is>
      </c>
      <c r="N150" t="inlineStr">
        <is>
          <t>AL-TAIF PHARMACEUTICALS COMPANY (SPECTRO PHARMA)</t>
        </is>
      </c>
      <c r="O150" t="inlineStr">
        <is>
          <t>3009260602</t>
        </is>
      </c>
    </row>
    <row r="151">
      <c r="A151" t="inlineStr">
        <is>
          <t>A10BH</t>
        </is>
      </c>
      <c r="B151" t="inlineStr">
        <is>
          <t>DPP-4 inhibitors</t>
        </is>
      </c>
      <c r="C151" t="inlineStr">
        <is>
          <t>SITAGLIPTIN</t>
        </is>
      </c>
      <c r="D151" t="inlineStr">
        <is>
          <t>Sitamend</t>
        </is>
      </c>
      <c r="E151" t="inlineStr">
        <is>
          <t>100</t>
        </is>
      </c>
      <c r="F151" t="inlineStr">
        <is>
          <t>mg</t>
        </is>
      </c>
      <c r="G151" t="inlineStr">
        <is>
          <t>Film-coated tablet</t>
        </is>
      </c>
      <c r="H151" t="n">
        <v>28</v>
      </c>
      <c r="I151" t="n">
        <v>84.2</v>
      </c>
      <c r="J151" s="5">
        <f>IF(H151&gt;0,I151/H151,"")</f>
        <v/>
      </c>
      <c r="K151" s="5">
        <f>IF(J151="","",J151/Inputs!$B$1)</f>
        <v/>
      </c>
      <c r="L151" t="inlineStr">
        <is>
          <t>Generic or other</t>
        </is>
      </c>
      <c r="M151" t="inlineStr">
        <is>
          <t>Tabuk Pharmaceutical Manufacturing Company</t>
        </is>
      </c>
      <c r="N151" t="inlineStr">
        <is>
          <t>Tabuk Pharmaceutical Manufacturing Company</t>
        </is>
      </c>
      <c r="O151" t="inlineStr">
        <is>
          <t>2502256929</t>
        </is>
      </c>
    </row>
    <row r="152">
      <c r="A152" t="inlineStr">
        <is>
          <t>A10BH</t>
        </is>
      </c>
      <c r="B152" t="inlineStr">
        <is>
          <t>DPP-4 inhibitors</t>
        </is>
      </c>
      <c r="C152" t="inlineStr">
        <is>
          <t>SITAGLIPTIN</t>
        </is>
      </c>
      <c r="D152" t="inlineStr">
        <is>
          <t>Sitaglu</t>
        </is>
      </c>
      <c r="E152" t="inlineStr">
        <is>
          <t>100</t>
        </is>
      </c>
      <c r="F152" t="inlineStr">
        <is>
          <t>mg</t>
        </is>
      </c>
      <c r="G152" t="inlineStr">
        <is>
          <t>Film-coated tablet</t>
        </is>
      </c>
      <c r="H152" t="n">
        <v>28</v>
      </c>
      <c r="I152" t="n">
        <v>84.2</v>
      </c>
      <c r="J152" s="5">
        <f>IF(H152&gt;0,I152/H152,"")</f>
        <v/>
      </c>
      <c r="K152" s="5">
        <f>IF(J152="","",J152/Inputs!$B$1)</f>
        <v/>
      </c>
      <c r="L152" t="inlineStr">
        <is>
          <t>Generic or other</t>
        </is>
      </c>
      <c r="M152" t="inlineStr">
        <is>
          <t>Pharma Pharmaceutical Industries &amp; Biological Products (PPI)</t>
        </is>
      </c>
      <c r="N152" t="inlineStr">
        <is>
          <t>Pharma Pharmaceutical Industries (PPI)</t>
        </is>
      </c>
      <c r="O152" t="inlineStr">
        <is>
          <t>2003257118</t>
        </is>
      </c>
    </row>
    <row r="153">
      <c r="A153" t="inlineStr">
        <is>
          <t>A10BH</t>
        </is>
      </c>
      <c r="B153" t="inlineStr">
        <is>
          <t>DPP-4 inhibitors</t>
        </is>
      </c>
      <c r="C153" t="inlineStr">
        <is>
          <t>SITAGLIPTIN</t>
        </is>
      </c>
      <c r="D153" t="inlineStr">
        <is>
          <t>Balivio</t>
        </is>
      </c>
      <c r="E153" t="inlineStr">
        <is>
          <t>100</t>
        </is>
      </c>
      <c r="F153" t="inlineStr">
        <is>
          <t>mg</t>
        </is>
      </c>
      <c r="G153" t="inlineStr">
        <is>
          <t>Film-coated tablet</t>
        </is>
      </c>
      <c r="H153" t="n">
        <v>28</v>
      </c>
      <c r="I153" t="n">
        <v>84.2</v>
      </c>
      <c r="J153" s="5">
        <f>IF(H153&gt;0,I153/H153,"")</f>
        <v/>
      </c>
      <c r="K153" s="5">
        <f>IF(J153="","",J153/Inputs!$B$1)</f>
        <v/>
      </c>
      <c r="L153" t="inlineStr">
        <is>
          <t>Generic or other</t>
        </is>
      </c>
      <c r="M153" t="inlineStr">
        <is>
          <t>Honessan Pharma</t>
        </is>
      </c>
      <c r="N153" t="inlineStr">
        <is>
          <t>ALNAGHI COMPANY</t>
        </is>
      </c>
      <c r="O153" t="inlineStr">
        <is>
          <t>1012258777</t>
        </is>
      </c>
    </row>
    <row r="154">
      <c r="A154" t="inlineStr">
        <is>
          <t>A10BH</t>
        </is>
      </c>
      <c r="B154" t="inlineStr">
        <is>
          <t>DPP-4 inhibitors</t>
        </is>
      </c>
      <c r="C154" t="inlineStr">
        <is>
          <t>SITAGLIPTIN</t>
        </is>
      </c>
      <c r="D154" t="inlineStr">
        <is>
          <t>Glytix</t>
        </is>
      </c>
      <c r="E154" t="inlineStr">
        <is>
          <t>100</t>
        </is>
      </c>
      <c r="F154" t="inlineStr">
        <is>
          <t>mg</t>
        </is>
      </c>
      <c r="G154" t="inlineStr">
        <is>
          <t>Film-coated tablet</t>
        </is>
      </c>
      <c r="H154" t="n">
        <v>28</v>
      </c>
      <c r="I154" t="n">
        <v>84.2</v>
      </c>
      <c r="J154" s="5">
        <f>IF(H154&gt;0,I154/H154,"")</f>
        <v/>
      </c>
      <c r="K154" s="5">
        <f>IF(J154="","",J154/Inputs!$B$1)</f>
        <v/>
      </c>
      <c r="L154" t="inlineStr">
        <is>
          <t>Generic or other</t>
        </is>
      </c>
      <c r="M154" t="inlineStr">
        <is>
          <t>MS PHARMA for Pharmaceuticals</t>
        </is>
      </c>
      <c r="N154" t="inlineStr">
        <is>
          <t>Cigalah Group</t>
        </is>
      </c>
      <c r="O154" t="inlineStr">
        <is>
          <t>0103269207</t>
        </is>
      </c>
    </row>
    <row r="155">
      <c r="A155" t="inlineStr">
        <is>
          <t>A10BH</t>
        </is>
      </c>
      <c r="B155" t="inlineStr">
        <is>
          <t>DPP-4 inhibitors</t>
        </is>
      </c>
      <c r="C155" t="inlineStr">
        <is>
          <t>SITAGLIPTIN</t>
        </is>
      </c>
      <c r="D155" t="inlineStr">
        <is>
          <t>Sitanova</t>
        </is>
      </c>
      <c r="E155" t="inlineStr">
        <is>
          <t>100</t>
        </is>
      </c>
      <c r="F155" t="inlineStr">
        <is>
          <t>mg</t>
        </is>
      </c>
      <c r="G155" t="inlineStr">
        <is>
          <t>Film-coated tablet</t>
        </is>
      </c>
      <c r="H155" t="n">
        <v>28</v>
      </c>
      <c r="I155" t="n">
        <v>84.2</v>
      </c>
      <c r="J155" s="5">
        <f>IF(H155&gt;0,I155/H155,"")</f>
        <v/>
      </c>
      <c r="K155" s="5">
        <f>IF(J155="","",J155/Inputs!$B$1)</f>
        <v/>
      </c>
      <c r="L155" t="inlineStr">
        <is>
          <t>Generic or other</t>
        </is>
      </c>
      <c r="M155" t="inlineStr">
        <is>
          <t>Laboratories SOTHEMA</t>
        </is>
      </c>
      <c r="N155" t="inlineStr">
        <is>
          <t>Cigalah Group</t>
        </is>
      </c>
      <c r="O155" t="inlineStr">
        <is>
          <t>0104269361</t>
        </is>
      </c>
    </row>
    <row r="156">
      <c r="A156" t="inlineStr">
        <is>
          <t>A10BH</t>
        </is>
      </c>
      <c r="B156" t="inlineStr">
        <is>
          <t>DPP-4 inhibitors</t>
        </is>
      </c>
      <c r="C156" t="inlineStr">
        <is>
          <t>SITAGLIPTIN</t>
        </is>
      </c>
      <c r="D156" t="inlineStr">
        <is>
          <t>Julista</t>
        </is>
      </c>
      <c r="E156" t="inlineStr">
        <is>
          <t>100</t>
        </is>
      </c>
      <c r="F156" t="inlineStr">
        <is>
          <t>mg</t>
        </is>
      </c>
      <c r="G156" t="inlineStr">
        <is>
          <t>Film-coated tablet</t>
        </is>
      </c>
      <c r="H156" t="n">
        <v>28</v>
      </c>
      <c r="I156" t="n">
        <v>84.2</v>
      </c>
      <c r="J156" s="5">
        <f>IF(H156&gt;0,I156/H156,"")</f>
        <v/>
      </c>
      <c r="K156" s="5">
        <f>IF(J156="","",J156/Inputs!$B$1)</f>
        <v/>
      </c>
      <c r="L156" t="inlineStr">
        <is>
          <t>Generic or other</t>
        </is>
      </c>
      <c r="M156" t="inlineStr">
        <is>
          <t>Med City Pharma</t>
        </is>
      </c>
      <c r="N156" t="inlineStr">
        <is>
          <t>ZIMMO TRADING ESTABLISHMENT</t>
        </is>
      </c>
      <c r="O156" t="inlineStr">
        <is>
          <t>1205269687</t>
        </is>
      </c>
    </row>
    <row r="157">
      <c r="A157" t="inlineStr">
        <is>
          <t>A10BH</t>
        </is>
      </c>
      <c r="B157" t="inlineStr">
        <is>
          <t>DPP-4 inhibitors</t>
        </is>
      </c>
      <c r="C157" t="inlineStr">
        <is>
          <t>SITAGLIPTIN</t>
        </is>
      </c>
      <c r="D157" t="inlineStr">
        <is>
          <t>Meliglptin</t>
        </is>
      </c>
      <c r="E157" t="inlineStr">
        <is>
          <t>100</t>
        </is>
      </c>
      <c r="F157" t="inlineStr">
        <is>
          <t>mg</t>
        </is>
      </c>
      <c r="G157" t="inlineStr">
        <is>
          <t>Film-coated tablet</t>
        </is>
      </c>
      <c r="H157" t="n">
        <v>30</v>
      </c>
      <c r="I157" t="n">
        <v>91.2</v>
      </c>
      <c r="J157" s="5">
        <f>IF(H157&gt;0,I157/H157,"")</f>
        <v/>
      </c>
      <c r="K157" s="5">
        <f>IF(J157="","",J157/Inputs!$B$1)</f>
        <v/>
      </c>
      <c r="L157" t="inlineStr">
        <is>
          <t>Generic or other</t>
        </is>
      </c>
      <c r="M157" t="inlineStr">
        <is>
          <t>Saudi Amarox</t>
        </is>
      </c>
      <c r="N157" t="inlineStr">
        <is>
          <t>Saudi AmaroxAL-DAWAA MEDICAL SERVICES CO. LTD</t>
        </is>
      </c>
      <c r="O157" t="inlineStr">
        <is>
          <t>0412222969</t>
        </is>
      </c>
    </row>
    <row r="158">
      <c r="A158" t="inlineStr">
        <is>
          <t>A10BH</t>
        </is>
      </c>
      <c r="B158" t="inlineStr">
        <is>
          <t>DPP-4 inhibitors</t>
        </is>
      </c>
      <c r="C158" t="inlineStr">
        <is>
          <t>SITAGLIPTIN</t>
        </is>
      </c>
      <c r="D158" t="inlineStr">
        <is>
          <t>JANUVIA 100MG F.C. TABLETS</t>
        </is>
      </c>
      <c r="E158" t="inlineStr">
        <is>
          <t>100</t>
        </is>
      </c>
      <c r="F158" t="inlineStr">
        <is>
          <t>mg</t>
        </is>
      </c>
      <c r="G158" t="inlineStr">
        <is>
          <t>Film-coated tablet</t>
        </is>
      </c>
      <c r="H158" t="n">
        <v>28</v>
      </c>
      <c r="I158" t="n">
        <v>94.75</v>
      </c>
      <c r="J158" s="5">
        <f>IF(H158&gt;0,I158/H158,"")</f>
        <v/>
      </c>
      <c r="K158" s="5">
        <f>IF(J158="","",J158/Inputs!$B$1)</f>
        <v/>
      </c>
      <c r="L158" t="inlineStr">
        <is>
          <t>MSD</t>
        </is>
      </c>
      <c r="M158" t="inlineStr">
        <is>
          <t>MERCK SHARP &amp; DOHME</t>
        </is>
      </c>
      <c r="N158" t="inlineStr">
        <is>
          <t>Farouk, Maamoun Tamer &amp; CO</t>
        </is>
      </c>
      <c r="O158" t="inlineStr">
        <is>
          <t>1101210399</t>
        </is>
      </c>
    </row>
    <row r="159">
      <c r="A159" t="inlineStr">
        <is>
          <t>A10BH</t>
        </is>
      </c>
      <c r="B159" t="inlineStr">
        <is>
          <t>DPP-4 inhibitors</t>
        </is>
      </c>
      <c r="C159" t="inlineStr">
        <is>
          <t>VILDAGLIPTIN</t>
        </is>
      </c>
      <c r="D159" t="inlineStr">
        <is>
          <t>Diaglipt</t>
        </is>
      </c>
      <c r="E159" t="inlineStr">
        <is>
          <t>50</t>
        </is>
      </c>
      <c r="F159" t="inlineStr">
        <is>
          <t>mg</t>
        </is>
      </c>
      <c r="G159" t="inlineStr">
        <is>
          <t>Tablet</t>
        </is>
      </c>
      <c r="H159" t="n">
        <v>56</v>
      </c>
      <c r="I159" t="n">
        <v>62.05</v>
      </c>
      <c r="J159" s="5">
        <f>IF(H159&gt;0,I159/H159,"")</f>
        <v/>
      </c>
      <c r="K159" s="5">
        <f>IF(J159="","",J159/Inputs!$B$1)</f>
        <v/>
      </c>
      <c r="L159" t="inlineStr">
        <is>
          <t>Generic or other</t>
        </is>
      </c>
      <c r="M159" t="inlineStr">
        <is>
          <t>Middle East Pharmaceutical Industries Co Ltd Avalon Pharma</t>
        </is>
      </c>
      <c r="N159" t="inlineStr">
        <is>
          <t>Middle East Pharmaceutical Industries Co Ltd Avalon Pharma</t>
        </is>
      </c>
      <c r="O159" t="inlineStr">
        <is>
          <t>2403245069</t>
        </is>
      </c>
    </row>
    <row r="160">
      <c r="A160" t="inlineStr">
        <is>
          <t>A10BH</t>
        </is>
      </c>
      <c r="B160" t="inlineStr">
        <is>
          <t>DPP-4 inhibitors</t>
        </is>
      </c>
      <c r="C160" t="inlineStr">
        <is>
          <t>VILDAGLIPTIN</t>
        </is>
      </c>
      <c r="D160" t="inlineStr">
        <is>
          <t>Vtreat</t>
        </is>
      </c>
      <c r="E160" t="inlineStr">
        <is>
          <t>50</t>
        </is>
      </c>
      <c r="F160" t="inlineStr">
        <is>
          <t>mg</t>
        </is>
      </c>
      <c r="G160" t="inlineStr">
        <is>
          <t>Tablet</t>
        </is>
      </c>
      <c r="H160" t="n">
        <v>56</v>
      </c>
      <c r="I160" t="n">
        <v>62.05</v>
      </c>
      <c r="J160" s="5">
        <f>IF(H160&gt;0,I160/H160,"")</f>
        <v/>
      </c>
      <c r="K160" s="5">
        <f>IF(J160="","",J160/Inputs!$B$1)</f>
        <v/>
      </c>
      <c r="L160" t="inlineStr">
        <is>
          <t>Generic or other</t>
        </is>
      </c>
      <c r="M160" t="inlineStr">
        <is>
          <t>Spectro Pharma</t>
        </is>
      </c>
      <c r="N160" t="inlineStr">
        <is>
          <t>AL-TAIF PHARMACEUTICALS COMPANY (SPECTRO PHARMA)</t>
        </is>
      </c>
      <c r="O160" t="inlineStr">
        <is>
          <t>2111246314</t>
        </is>
      </c>
    </row>
    <row r="161">
      <c r="A161" t="inlineStr">
        <is>
          <t>A10BH</t>
        </is>
      </c>
      <c r="B161" t="inlineStr">
        <is>
          <t>DPP-4 inhibitors</t>
        </is>
      </c>
      <c r="C161" t="inlineStr">
        <is>
          <t>VILDAGLIPTIN</t>
        </is>
      </c>
      <c r="D161" t="inlineStr">
        <is>
          <t>GLEPTAL 50MG TABLET</t>
        </is>
      </c>
      <c r="E161" t="inlineStr">
        <is>
          <t>50</t>
        </is>
      </c>
      <c r="F161" t="inlineStr">
        <is>
          <t>mg</t>
        </is>
      </c>
      <c r="G161" t="inlineStr">
        <is>
          <t>Tablet</t>
        </is>
      </c>
      <c r="H161" t="n">
        <v>30</v>
      </c>
      <c r="I161" t="n">
        <v>33.25</v>
      </c>
      <c r="J161" s="5">
        <f>IF(H161&gt;0,I161/H161,"")</f>
        <v/>
      </c>
      <c r="K161" s="5">
        <f>IF(J161="","",J161/Inputs!$B$1)</f>
        <v/>
      </c>
      <c r="L161" t="inlineStr">
        <is>
          <t>Generic or other</t>
        </is>
      </c>
      <c r="M161" t="inlineStr">
        <is>
          <t>Al-Taqaddom pharmaceutical Industries</t>
        </is>
      </c>
      <c r="N161" t="inlineStr">
        <is>
          <t>ZIMMO TRADING ESTABLISHMENT</t>
        </is>
      </c>
      <c r="O161" t="inlineStr">
        <is>
          <t>1512246415</t>
        </is>
      </c>
    </row>
    <row r="162">
      <c r="A162" t="inlineStr">
        <is>
          <t>A10BH</t>
        </is>
      </c>
      <c r="B162" t="inlineStr">
        <is>
          <t>DPP-4 inhibitors</t>
        </is>
      </c>
      <c r="C162" t="inlineStr">
        <is>
          <t>VILDAGLIPTIN</t>
        </is>
      </c>
      <c r="D162" t="inlineStr">
        <is>
          <t>Vildus</t>
        </is>
      </c>
      <c r="E162" t="inlineStr">
        <is>
          <t>50</t>
        </is>
      </c>
      <c r="F162" t="inlineStr">
        <is>
          <t>mg</t>
        </is>
      </c>
      <c r="G162" t="inlineStr">
        <is>
          <t>Tablet</t>
        </is>
      </c>
      <c r="H162" t="n">
        <v>30</v>
      </c>
      <c r="I162" t="n">
        <v>33.25</v>
      </c>
      <c r="J162" s="5">
        <f>IF(H162&gt;0,I162/H162,"")</f>
        <v/>
      </c>
      <c r="K162" s="5">
        <f>IF(J162="","",J162/Inputs!$B$1)</f>
        <v/>
      </c>
      <c r="L162" t="inlineStr">
        <is>
          <t>Generic or other</t>
        </is>
      </c>
      <c r="M162" t="inlineStr">
        <is>
          <t>Jamjoom Pharmaceuticals Factory Company</t>
        </is>
      </c>
      <c r="N162" t="inlineStr">
        <is>
          <t>JAMJOOM PHARMACEUTICALS CO. LTD.Abdullatif Mohammed Salah Jamjoom &amp; Bros Co</t>
        </is>
      </c>
      <c r="O162" t="inlineStr">
        <is>
          <t>1502210515</t>
        </is>
      </c>
    </row>
    <row r="163">
      <c r="A163" t="inlineStr">
        <is>
          <t>A10BH</t>
        </is>
      </c>
      <c r="B163" t="inlineStr">
        <is>
          <t>DPP-4 inhibitors</t>
        </is>
      </c>
      <c r="C163" t="inlineStr">
        <is>
          <t>VILDAGLIPTIN</t>
        </is>
      </c>
      <c r="D163" t="inlineStr">
        <is>
          <t>Vildus</t>
        </is>
      </c>
      <c r="E163" t="inlineStr">
        <is>
          <t>50</t>
        </is>
      </c>
      <c r="F163" t="inlineStr">
        <is>
          <t>mg</t>
        </is>
      </c>
      <c r="G163" t="inlineStr">
        <is>
          <t>Tablet</t>
        </is>
      </c>
      <c r="H163" t="n">
        <v>60</v>
      </c>
      <c r="I163" t="n">
        <v>66.5</v>
      </c>
      <c r="J163" s="5">
        <f>IF(H163&gt;0,I163/H163,"")</f>
        <v/>
      </c>
      <c r="K163" s="5">
        <f>IF(J163="","",J163/Inputs!$B$1)</f>
        <v/>
      </c>
      <c r="L163" t="inlineStr">
        <is>
          <t>Generic or other</t>
        </is>
      </c>
      <c r="M163" t="inlineStr">
        <is>
          <t>Jamjoom Pharmaceuticals Factory Company</t>
        </is>
      </c>
      <c r="N163" t="inlineStr">
        <is>
          <t>JAMJOOM PHARMACEUTICALS CO. LTD.Abdullatif Mohammed Salah Jamjoom &amp; Bros Co</t>
        </is>
      </c>
      <c r="O163" t="inlineStr">
        <is>
          <t>1502210516</t>
        </is>
      </c>
    </row>
    <row r="164">
      <c r="A164" t="inlineStr">
        <is>
          <t>A10BH</t>
        </is>
      </c>
      <c r="B164" t="inlineStr">
        <is>
          <t>DPP-4 inhibitors</t>
        </is>
      </c>
      <c r="C164" t="inlineStr">
        <is>
          <t>VILDAGLIPTIN</t>
        </is>
      </c>
      <c r="D164" t="inlineStr">
        <is>
          <t>Iylus</t>
        </is>
      </c>
      <c r="E164" t="inlineStr">
        <is>
          <t>50</t>
        </is>
      </c>
      <c r="F164" t="inlineStr">
        <is>
          <t>mg</t>
        </is>
      </c>
      <c r="G164" t="inlineStr">
        <is>
          <t>Tablet</t>
        </is>
      </c>
      <c r="H164" t="n">
        <v>30</v>
      </c>
      <c r="I164" t="n">
        <v>33.25</v>
      </c>
      <c r="J164" s="5">
        <f>IF(H164&gt;0,I164/H164,"")</f>
        <v/>
      </c>
      <c r="K164" s="5">
        <f>IF(J164="","",J164/Inputs!$B$1)</f>
        <v/>
      </c>
      <c r="L164" t="inlineStr">
        <is>
          <t>Generic or other</t>
        </is>
      </c>
      <c r="M164" t="inlineStr">
        <is>
          <t>Savvy Pharma</t>
        </is>
      </c>
      <c r="N164" t="inlineStr">
        <is>
          <t>ZIMMO TRADING ESTABLISHMENT</t>
        </is>
      </c>
      <c r="O164" t="inlineStr">
        <is>
          <t>2510211233</t>
        </is>
      </c>
    </row>
    <row r="165">
      <c r="A165" t="inlineStr">
        <is>
          <t>A10BH</t>
        </is>
      </c>
      <c r="B165" t="inlineStr">
        <is>
          <t>DPP-4 inhibitors</t>
        </is>
      </c>
      <c r="C165" t="inlineStr">
        <is>
          <t>VILDAGLIPTIN</t>
        </is>
      </c>
      <c r="D165" t="inlineStr">
        <is>
          <t>Gleptal</t>
        </is>
      </c>
      <c r="E165" t="inlineStr">
        <is>
          <t>50</t>
        </is>
      </c>
      <c r="F165" t="inlineStr">
        <is>
          <t>mg</t>
        </is>
      </c>
      <c r="G165" t="inlineStr">
        <is>
          <t>Tablet</t>
        </is>
      </c>
      <c r="H165" t="n">
        <v>60</v>
      </c>
      <c r="I165" t="n">
        <v>66.5</v>
      </c>
      <c r="J165" s="5">
        <f>IF(H165&gt;0,I165/H165,"")</f>
        <v/>
      </c>
      <c r="K165" s="5">
        <f>IF(J165="","",J165/Inputs!$B$1)</f>
        <v/>
      </c>
      <c r="L165" t="inlineStr">
        <is>
          <t>Generic or other</t>
        </is>
      </c>
      <c r="M165" t="inlineStr">
        <is>
          <t>Al-Taqaddom pharmaceutical Industries</t>
        </is>
      </c>
      <c r="N165" t="inlineStr">
        <is>
          <t>ZIMMO TRADING ESTABLISHMENT</t>
        </is>
      </c>
      <c r="O165" t="inlineStr">
        <is>
          <t>2509222633</t>
        </is>
      </c>
    </row>
    <row r="166">
      <c r="A166" t="inlineStr">
        <is>
          <t>A10BH</t>
        </is>
      </c>
      <c r="B166" t="inlineStr">
        <is>
          <t>DPP-4 inhibitors</t>
        </is>
      </c>
      <c r="C166" t="inlineStr">
        <is>
          <t>VILDAGLIPTIN</t>
        </is>
      </c>
      <c r="D166" t="inlineStr">
        <is>
          <t>Geuvid</t>
        </is>
      </c>
      <c r="E166" t="inlineStr">
        <is>
          <t>50</t>
        </is>
      </c>
      <c r="F166" t="inlineStr">
        <is>
          <t>mg</t>
        </is>
      </c>
      <c r="G166" t="inlineStr">
        <is>
          <t>Tablet</t>
        </is>
      </c>
      <c r="H166" t="n">
        <v>60</v>
      </c>
      <c r="I166" t="n">
        <v>66.5</v>
      </c>
      <c r="J166" s="5">
        <f>IF(H166&gt;0,I166/H166,"")</f>
        <v/>
      </c>
      <c r="K166" s="5">
        <f>IF(J166="","",J166/Inputs!$B$1)</f>
        <v/>
      </c>
      <c r="L166" t="inlineStr">
        <is>
          <t>Generic or other</t>
        </is>
      </c>
      <c r="M166" t="inlineStr">
        <is>
          <t>Saudi Amarox</t>
        </is>
      </c>
      <c r="N166" t="inlineStr">
        <is>
          <t>Farouk, Maamoun Tamer &amp; CO</t>
        </is>
      </c>
      <c r="O166" t="inlineStr">
        <is>
          <t>1912223024</t>
        </is>
      </c>
    </row>
    <row r="167">
      <c r="A167" t="inlineStr">
        <is>
          <t>A10BH</t>
        </is>
      </c>
      <c r="B167" t="inlineStr">
        <is>
          <t>DPP-4 inhibitors</t>
        </is>
      </c>
      <c r="C167" t="inlineStr">
        <is>
          <t>VILDAGLIPTIN</t>
        </is>
      </c>
      <c r="D167" t="inlineStr">
        <is>
          <t>Geuvid</t>
        </is>
      </c>
      <c r="E167" t="inlineStr">
        <is>
          <t>50</t>
        </is>
      </c>
      <c r="F167" t="inlineStr">
        <is>
          <t>mg</t>
        </is>
      </c>
      <c r="G167" t="inlineStr">
        <is>
          <t>Tablet</t>
        </is>
      </c>
      <c r="H167" t="n">
        <v>30</v>
      </c>
      <c r="I167" t="n">
        <v>33.25</v>
      </c>
      <c r="J167" s="5">
        <f>IF(H167&gt;0,I167/H167,"")</f>
        <v/>
      </c>
      <c r="K167" s="5">
        <f>IF(J167="","",J167/Inputs!$B$1)</f>
        <v/>
      </c>
      <c r="L167" t="inlineStr">
        <is>
          <t>Generic or other</t>
        </is>
      </c>
      <c r="M167" t="inlineStr">
        <is>
          <t>Saudi Amarox</t>
        </is>
      </c>
      <c r="N167" t="inlineStr">
        <is>
          <t>Farouk, Maamoun Tamer &amp; CO</t>
        </is>
      </c>
      <c r="O167" t="inlineStr">
        <is>
          <t>1912223025</t>
        </is>
      </c>
    </row>
    <row r="168">
      <c r="A168" t="inlineStr">
        <is>
          <t>A10BH</t>
        </is>
      </c>
      <c r="B168" t="inlineStr">
        <is>
          <t>DPP-4 inhibitors</t>
        </is>
      </c>
      <c r="C168" t="inlineStr">
        <is>
          <t>VILDAGLIPTIN</t>
        </is>
      </c>
      <c r="D168" t="inlineStr">
        <is>
          <t>Gliptus</t>
        </is>
      </c>
      <c r="E168" t="inlineStr">
        <is>
          <t>50</t>
        </is>
      </c>
      <c r="F168" t="inlineStr">
        <is>
          <t>mg</t>
        </is>
      </c>
      <c r="G168" t="inlineStr">
        <is>
          <t>Tablet</t>
        </is>
      </c>
      <c r="H168" t="n">
        <v>60</v>
      </c>
      <c r="I168" t="n">
        <v>66.5</v>
      </c>
      <c r="J168" s="5">
        <f>IF(H168&gt;0,I168/H168,"")</f>
        <v/>
      </c>
      <c r="K168" s="5">
        <f>IF(J168="","",J168/Inputs!$B$1)</f>
        <v/>
      </c>
      <c r="L168" t="inlineStr">
        <is>
          <t>Generic or other</t>
        </is>
      </c>
      <c r="M168" t="inlineStr">
        <is>
          <t>Eva pharma for Industry</t>
        </is>
      </c>
      <c r="N168" t="inlineStr">
        <is>
          <t>Cigalah Group</t>
        </is>
      </c>
      <c r="O168" t="inlineStr">
        <is>
          <t>1909245935</t>
        </is>
      </c>
    </row>
    <row r="169">
      <c r="A169" t="inlineStr">
        <is>
          <t>A10BH</t>
        </is>
      </c>
      <c r="B169" t="inlineStr">
        <is>
          <t>DPP-4 inhibitors</t>
        </is>
      </c>
      <c r="C169" t="inlineStr">
        <is>
          <t>VILDAGLIPTIN</t>
        </is>
      </c>
      <c r="D169" t="inlineStr">
        <is>
          <t>Galdiva</t>
        </is>
      </c>
      <c r="E169" t="inlineStr">
        <is>
          <t>50</t>
        </is>
      </c>
      <c r="F169" t="inlineStr">
        <is>
          <t>mg</t>
        </is>
      </c>
      <c r="G169" t="inlineStr">
        <is>
          <t>Tablet</t>
        </is>
      </c>
      <c r="H169" t="n">
        <v>30</v>
      </c>
      <c r="I169" t="n">
        <v>33.25</v>
      </c>
      <c r="J169" s="5">
        <f>IF(H169&gt;0,I169/H169,"")</f>
        <v/>
      </c>
      <c r="K169" s="5">
        <f>IF(J169="","",J169/Inputs!$B$1)</f>
        <v/>
      </c>
      <c r="L169" t="inlineStr">
        <is>
          <t>Generic or other</t>
        </is>
      </c>
      <c r="M169" t="inlineStr">
        <is>
          <t>Soul Pharma</t>
        </is>
      </c>
      <c r="N169" t="inlineStr">
        <is>
          <t>Kinnova MED company for Distribution</t>
        </is>
      </c>
      <c r="O169" t="inlineStr">
        <is>
          <t>1609260515</t>
        </is>
      </c>
    </row>
    <row r="170">
      <c r="A170" t="inlineStr">
        <is>
          <t>A10BH</t>
        </is>
      </c>
      <c r="B170" t="inlineStr">
        <is>
          <t>DPP-4 inhibitors</t>
        </is>
      </c>
      <c r="C170" t="inlineStr">
        <is>
          <t>VILDAGLIPTIN</t>
        </is>
      </c>
      <c r="D170" t="inlineStr">
        <is>
          <t>Galdiva</t>
        </is>
      </c>
      <c r="E170" t="inlineStr">
        <is>
          <t>50</t>
        </is>
      </c>
      <c r="F170" t="inlineStr">
        <is>
          <t>mg</t>
        </is>
      </c>
      <c r="G170" t="inlineStr">
        <is>
          <t>Tablet</t>
        </is>
      </c>
      <c r="H170" t="n">
        <v>60</v>
      </c>
      <c r="I170" t="n">
        <v>66.5</v>
      </c>
      <c r="J170" s="5">
        <f>IF(H170&gt;0,I170/H170,"")</f>
        <v/>
      </c>
      <c r="K170" s="5">
        <f>IF(J170="","",J170/Inputs!$B$1)</f>
        <v/>
      </c>
      <c r="L170" t="inlineStr">
        <is>
          <t>Generic or other</t>
        </is>
      </c>
      <c r="M170" t="inlineStr">
        <is>
          <t>Soul Pharma</t>
        </is>
      </c>
      <c r="N170" t="inlineStr">
        <is>
          <t>Kinnova MED company for Distribution</t>
        </is>
      </c>
      <c r="O170" t="inlineStr">
        <is>
          <t>1609260514</t>
        </is>
      </c>
    </row>
    <row r="171">
      <c r="A171" t="inlineStr">
        <is>
          <t>A10BH</t>
        </is>
      </c>
      <c r="B171" t="inlineStr">
        <is>
          <t>DPP-4 inhibitors</t>
        </is>
      </c>
      <c r="C171" t="inlineStr">
        <is>
          <t>VILDAGLIPTIN</t>
        </is>
      </c>
      <c r="D171" t="inlineStr">
        <is>
          <t>Glypvilo</t>
        </is>
      </c>
      <c r="E171" t="inlineStr">
        <is>
          <t>50</t>
        </is>
      </c>
      <c r="F171" t="inlineStr">
        <is>
          <t>mg</t>
        </is>
      </c>
      <c r="G171" t="inlineStr">
        <is>
          <t>Tablet</t>
        </is>
      </c>
      <c r="H171" t="n">
        <v>30</v>
      </c>
      <c r="I171" t="n">
        <v>33.25</v>
      </c>
      <c r="J171" s="5">
        <f>IF(H171&gt;0,I171/H171,"")</f>
        <v/>
      </c>
      <c r="K171" s="5">
        <f>IF(J171="","",J171/Inputs!$B$1)</f>
        <v/>
      </c>
      <c r="L171" t="inlineStr">
        <is>
          <t>Generic or other</t>
        </is>
      </c>
      <c r="M171" t="inlineStr">
        <is>
          <t>KRKA D D NOVO MESTO</t>
        </is>
      </c>
      <c r="N171" t="inlineStr">
        <is>
          <t>DERMAZONE Est</t>
        </is>
      </c>
      <c r="O171" t="inlineStr">
        <is>
          <t>2809260593</t>
        </is>
      </c>
    </row>
    <row r="172">
      <c r="A172" t="inlineStr">
        <is>
          <t>A10BH</t>
        </is>
      </c>
      <c r="B172" t="inlineStr">
        <is>
          <t>DPP-4 inhibitors</t>
        </is>
      </c>
      <c r="C172" t="inlineStr">
        <is>
          <t>VILDAGLIPTIN</t>
        </is>
      </c>
      <c r="D172" t="inlineStr">
        <is>
          <t>VILTIN 50 mg Tablet</t>
        </is>
      </c>
      <c r="E172" t="inlineStr">
        <is>
          <t>50</t>
        </is>
      </c>
      <c r="F172" t="inlineStr">
        <is>
          <t>mg</t>
        </is>
      </c>
      <c r="G172" t="inlineStr">
        <is>
          <t>Tablet</t>
        </is>
      </c>
      <c r="H172" t="n">
        <v>28</v>
      </c>
      <c r="I172" t="n">
        <v>31.05</v>
      </c>
      <c r="J172" s="5">
        <f>IF(H172&gt;0,I172/H172,"")</f>
        <v/>
      </c>
      <c r="K172" s="5">
        <f>IF(J172="","",J172/Inputs!$B$1)</f>
        <v/>
      </c>
      <c r="L172" t="inlineStr">
        <is>
          <t>Generic or other</t>
        </is>
      </c>
      <c r="M172" t="inlineStr">
        <is>
          <t>Pharma International Co.</t>
        </is>
      </c>
      <c r="N172" t="inlineStr">
        <is>
          <t>SAUDI ARABIAN DRUG STORE COMPANYZIMMO TRADING ESTABLISHMENT</t>
        </is>
      </c>
      <c r="O172" t="inlineStr">
        <is>
          <t>0310234289</t>
        </is>
      </c>
    </row>
    <row r="173">
      <c r="A173" t="inlineStr">
        <is>
          <t>A10BH</t>
        </is>
      </c>
      <c r="B173" t="inlineStr">
        <is>
          <t>DPP-4 inhibitors</t>
        </is>
      </c>
      <c r="C173" t="inlineStr">
        <is>
          <t>VILDAGLIPTIN</t>
        </is>
      </c>
      <c r="D173" t="inlineStr">
        <is>
          <t>Vtreat</t>
        </is>
      </c>
      <c r="E173" t="inlineStr">
        <is>
          <t>50</t>
        </is>
      </c>
      <c r="F173" t="inlineStr">
        <is>
          <t>mg</t>
        </is>
      </c>
      <c r="G173" t="inlineStr">
        <is>
          <t>Tablet</t>
        </is>
      </c>
      <c r="H173" t="n">
        <v>28</v>
      </c>
      <c r="I173" t="n">
        <v>31.05</v>
      </c>
      <c r="J173" s="5">
        <f>IF(H173&gt;0,I173/H173,"")</f>
        <v/>
      </c>
      <c r="K173" s="5">
        <f>IF(J173="","",J173/Inputs!$B$1)</f>
        <v/>
      </c>
      <c r="L173" t="inlineStr">
        <is>
          <t>Generic or other</t>
        </is>
      </c>
      <c r="M173" t="inlineStr">
        <is>
          <t>Spectro Pharma</t>
        </is>
      </c>
      <c r="N173" t="inlineStr">
        <is>
          <t>AL-TAIF PHARMACEUTICALS COMPANY (SPECTRO PHARMA)</t>
        </is>
      </c>
      <c r="O173" t="inlineStr">
        <is>
          <t>2111246315</t>
        </is>
      </c>
    </row>
    <row r="174">
      <c r="A174" t="inlineStr">
        <is>
          <t>A10BH</t>
        </is>
      </c>
      <c r="B174" t="inlineStr">
        <is>
          <t>DPP-4 inhibitors</t>
        </is>
      </c>
      <c r="C174" t="inlineStr">
        <is>
          <t>VILDAGLIPTIN</t>
        </is>
      </c>
      <c r="D174" t="inlineStr">
        <is>
          <t>VALDATIN 50MG TABLET</t>
        </is>
      </c>
      <c r="E174" t="inlineStr">
        <is>
          <t>50</t>
        </is>
      </c>
      <c r="F174" t="inlineStr">
        <is>
          <t>mg</t>
        </is>
      </c>
      <c r="G174" t="inlineStr">
        <is>
          <t>Tablet</t>
        </is>
      </c>
      <c r="H174" t="n">
        <v>28</v>
      </c>
      <c r="I174" t="n">
        <v>33.25</v>
      </c>
      <c r="J174" s="5">
        <f>IF(H174&gt;0,I174/H174,"")</f>
        <v/>
      </c>
      <c r="K174" s="5">
        <f>IF(J174="","",J174/Inputs!$B$1)</f>
        <v/>
      </c>
      <c r="L174" t="inlineStr">
        <is>
          <t>Generic or other</t>
        </is>
      </c>
      <c r="M174" t="inlineStr">
        <is>
          <t>SPIMACO ADDWAEIH</t>
        </is>
      </c>
      <c r="N174" t="inlineStr">
        <is>
          <t>SPIMACO</t>
        </is>
      </c>
      <c r="O174" t="inlineStr">
        <is>
          <t>1007257741</t>
        </is>
      </c>
    </row>
    <row r="175">
      <c r="A175" t="inlineStr">
        <is>
          <t>A10BH</t>
        </is>
      </c>
      <c r="B175" t="inlineStr">
        <is>
          <t>DPP-4 inhibitors</t>
        </is>
      </c>
      <c r="C175" t="inlineStr">
        <is>
          <t>VILDAGLIPTIN</t>
        </is>
      </c>
      <c r="D175" t="inlineStr">
        <is>
          <t>VALDATIN 50MG TABLET</t>
        </is>
      </c>
      <c r="E175" t="inlineStr">
        <is>
          <t>50</t>
        </is>
      </c>
      <c r="F175" t="inlineStr">
        <is>
          <t>mg</t>
        </is>
      </c>
      <c r="G175" t="inlineStr">
        <is>
          <t>Tablet</t>
        </is>
      </c>
      <c r="H175" t="n">
        <v>56</v>
      </c>
      <c r="I175" t="n">
        <v>66.5</v>
      </c>
      <c r="J175" s="5">
        <f>IF(H175&gt;0,I175/H175,"")</f>
        <v/>
      </c>
      <c r="K175" s="5">
        <f>IF(J175="","",J175/Inputs!$B$1)</f>
        <v/>
      </c>
      <c r="L175" t="inlineStr">
        <is>
          <t>Generic or other</t>
        </is>
      </c>
      <c r="M175" t="inlineStr">
        <is>
          <t>SPIMACO ADDWAEIH</t>
        </is>
      </c>
      <c r="N175" t="inlineStr">
        <is>
          <t>SPIMACO</t>
        </is>
      </c>
      <c r="O175" t="inlineStr">
        <is>
          <t>1007257742</t>
        </is>
      </c>
    </row>
    <row r="176">
      <c r="A176" t="inlineStr">
        <is>
          <t>A10BH</t>
        </is>
      </c>
      <c r="B176" t="inlineStr">
        <is>
          <t>DPP-4 inhibitors</t>
        </is>
      </c>
      <c r="C176" t="inlineStr">
        <is>
          <t>VILDAGLIPTIN</t>
        </is>
      </c>
      <c r="D176" t="inlineStr">
        <is>
          <t>GAVILDA 50MG TABLET     28S</t>
        </is>
      </c>
      <c r="E176" t="inlineStr">
        <is>
          <t>50</t>
        </is>
      </c>
      <c r="F176" t="inlineStr">
        <is>
          <t>mg</t>
        </is>
      </c>
      <c r="G176" t="inlineStr">
        <is>
          <t>Tablet</t>
        </is>
      </c>
      <c r="H176" t="n">
        <v>28</v>
      </c>
      <c r="I176" t="n">
        <v>33.25</v>
      </c>
      <c r="J176" s="5">
        <f>IF(H176&gt;0,I176/H176,"")</f>
        <v/>
      </c>
      <c r="K176" s="5">
        <f>IF(J176="","",J176/Inputs!$B$1)</f>
        <v/>
      </c>
      <c r="L176" t="inlineStr">
        <is>
          <t>Generic or other</t>
        </is>
      </c>
      <c r="M176" t="inlineStr">
        <is>
          <t>Tabuk Pharmaceutical Manufacturing Company</t>
        </is>
      </c>
      <c r="N176" t="inlineStr">
        <is>
          <t>Tabuk Pharmaceutical Manufacturing Company</t>
        </is>
      </c>
      <c r="O176" t="inlineStr">
        <is>
          <t>0810258361</t>
        </is>
      </c>
    </row>
    <row r="177">
      <c r="A177" t="inlineStr">
        <is>
          <t>A10BH</t>
        </is>
      </c>
      <c r="B177" t="inlineStr">
        <is>
          <t>DPP-4 inhibitors</t>
        </is>
      </c>
      <c r="C177" t="inlineStr">
        <is>
          <t>VILDAGLIPTIN</t>
        </is>
      </c>
      <c r="D177" t="inlineStr">
        <is>
          <t>GAVILDA 50MG TABLET      56S</t>
        </is>
      </c>
      <c r="E177" t="inlineStr">
        <is>
          <t>50</t>
        </is>
      </c>
      <c r="F177" t="inlineStr">
        <is>
          <t>mg</t>
        </is>
      </c>
      <c r="G177" t="inlineStr">
        <is>
          <t>Tablet</t>
        </is>
      </c>
      <c r="H177" t="n">
        <v>56</v>
      </c>
      <c r="I177" t="n">
        <v>66.5</v>
      </c>
      <c r="J177" s="5">
        <f>IF(H177&gt;0,I177/H177,"")</f>
        <v/>
      </c>
      <c r="K177" s="5">
        <f>IF(J177="","",J177/Inputs!$B$1)</f>
        <v/>
      </c>
      <c r="L177" t="inlineStr">
        <is>
          <t>Generic or other</t>
        </is>
      </c>
      <c r="M177" t="inlineStr">
        <is>
          <t>Tabuk Pharmaceutical Manufacturing Company</t>
        </is>
      </c>
      <c r="N177" t="inlineStr">
        <is>
          <t>Tabuk Pharmaceutical Manufacturing Company</t>
        </is>
      </c>
      <c r="O177" t="inlineStr">
        <is>
          <t>0810258376</t>
        </is>
      </c>
    </row>
    <row r="178">
      <c r="A178" t="inlineStr">
        <is>
          <t>A10BH</t>
        </is>
      </c>
      <c r="B178" t="inlineStr">
        <is>
          <t>DPP-4 inhibitors</t>
        </is>
      </c>
      <c r="C178" t="inlineStr">
        <is>
          <t>VILDAGLIPTIN</t>
        </is>
      </c>
      <c r="D178" t="inlineStr">
        <is>
          <t>Vdia</t>
        </is>
      </c>
      <c r="E178" t="inlineStr">
        <is>
          <t>50</t>
        </is>
      </c>
      <c r="F178" t="inlineStr">
        <is>
          <t>mg</t>
        </is>
      </c>
      <c r="G178" t="inlineStr">
        <is>
          <t>Tablet</t>
        </is>
      </c>
      <c r="H178" t="n">
        <v>28</v>
      </c>
      <c r="I178" t="n">
        <v>33.25</v>
      </c>
      <c r="J178" s="5">
        <f>IF(H178&gt;0,I178/H178,"")</f>
        <v/>
      </c>
      <c r="K178" s="5">
        <f>IF(J178="","",J178/Inputs!$B$1)</f>
        <v/>
      </c>
      <c r="L178" t="inlineStr">
        <is>
          <t>Generic or other</t>
        </is>
      </c>
      <c r="M178" t="inlineStr">
        <is>
          <t>ALPHA PHARMA INDUSTRY</t>
        </is>
      </c>
      <c r="N178" t="inlineStr">
        <is>
          <t>Alpha Pharma IndustryCigalah Group</t>
        </is>
      </c>
      <c r="O178" t="inlineStr">
        <is>
          <t>1212200324</t>
        </is>
      </c>
    </row>
    <row r="179">
      <c r="A179" t="inlineStr">
        <is>
          <t>A10BH</t>
        </is>
      </c>
      <c r="B179" t="inlineStr">
        <is>
          <t>DPP-4 inhibitors</t>
        </is>
      </c>
      <c r="C179" t="inlineStr">
        <is>
          <t>VILDAGLIPTIN</t>
        </is>
      </c>
      <c r="D179" t="inlineStr">
        <is>
          <t>Vdia</t>
        </is>
      </c>
      <c r="E179" t="inlineStr">
        <is>
          <t>50</t>
        </is>
      </c>
      <c r="F179" t="inlineStr">
        <is>
          <t>mg</t>
        </is>
      </c>
      <c r="G179" t="inlineStr">
        <is>
          <t>Tablet</t>
        </is>
      </c>
      <c r="H179" t="n">
        <v>56</v>
      </c>
      <c r="I179" t="n">
        <v>66.5</v>
      </c>
      <c r="J179" s="5">
        <f>IF(H179&gt;0,I179/H179,"")</f>
        <v/>
      </c>
      <c r="K179" s="5">
        <f>IF(J179="","",J179/Inputs!$B$1)</f>
        <v/>
      </c>
      <c r="L179" t="inlineStr">
        <is>
          <t>Generic or other</t>
        </is>
      </c>
      <c r="M179" t="inlineStr">
        <is>
          <t>ALPHA PHARMA INDUSTRY</t>
        </is>
      </c>
      <c r="N179" t="inlineStr">
        <is>
          <t>Alpha Pharma IndustryCigalah Group</t>
        </is>
      </c>
      <c r="O179" t="inlineStr">
        <is>
          <t>1212200325</t>
        </is>
      </c>
    </row>
    <row r="180">
      <c r="A180" t="inlineStr">
        <is>
          <t>A10BH</t>
        </is>
      </c>
      <c r="B180" t="inlineStr">
        <is>
          <t>DPP-4 inhibitors</t>
        </is>
      </c>
      <c r="C180" t="inlineStr">
        <is>
          <t>VILDAGLIPTIN</t>
        </is>
      </c>
      <c r="D180" t="inlineStr">
        <is>
          <t>VILDATIN 50 mg Tablet</t>
        </is>
      </c>
      <c r="E180" t="inlineStr">
        <is>
          <t>50</t>
        </is>
      </c>
      <c r="F180" t="inlineStr">
        <is>
          <t>mg</t>
        </is>
      </c>
      <c r="G180" t="inlineStr">
        <is>
          <t>Tablet</t>
        </is>
      </c>
      <c r="H180" t="n">
        <v>60</v>
      </c>
      <c r="I180" t="n">
        <v>79.15000000000001</v>
      </c>
      <c r="J180" s="5">
        <f>IF(H180&gt;0,I180/H180,"")</f>
        <v/>
      </c>
      <c r="K180" s="5">
        <f>IF(J180="","",J180/Inputs!$B$1)</f>
        <v/>
      </c>
      <c r="L180" t="inlineStr">
        <is>
          <t>Generic or other</t>
        </is>
      </c>
      <c r="M180" t="inlineStr">
        <is>
          <t>Med City Pharma</t>
        </is>
      </c>
      <c r="N180" t="inlineStr">
        <is>
          <t>ZIMMO TRADING ESTABLISHMENTMed city</t>
        </is>
      </c>
      <c r="O180" t="inlineStr">
        <is>
          <t>1309234202</t>
        </is>
      </c>
    </row>
    <row r="181">
      <c r="A181" t="inlineStr">
        <is>
          <t>A10BH</t>
        </is>
      </c>
      <c r="B181" t="inlineStr">
        <is>
          <t>DPP-4 inhibitors</t>
        </is>
      </c>
      <c r="C181" t="inlineStr">
        <is>
          <t>VILDAGLIPTIN</t>
        </is>
      </c>
      <c r="D181" t="inlineStr">
        <is>
          <t>VILDATIN 50 mg Tablet</t>
        </is>
      </c>
      <c r="E181" t="inlineStr">
        <is>
          <t>50</t>
        </is>
      </c>
      <c r="F181" t="inlineStr">
        <is>
          <t>mg</t>
        </is>
      </c>
      <c r="G181" t="inlineStr">
        <is>
          <t>Tablet</t>
        </is>
      </c>
      <c r="H181" t="n">
        <v>28</v>
      </c>
      <c r="I181" t="n">
        <v>36.95</v>
      </c>
      <c r="J181" s="5">
        <f>IF(H181&gt;0,I181/H181,"")</f>
        <v/>
      </c>
      <c r="K181" s="5">
        <f>IF(J181="","",J181/Inputs!$B$1)</f>
        <v/>
      </c>
      <c r="L181" t="inlineStr">
        <is>
          <t>Generic or other</t>
        </is>
      </c>
      <c r="M181" t="inlineStr">
        <is>
          <t>Med City Pharma</t>
        </is>
      </c>
      <c r="N181" t="inlineStr">
        <is>
          <t>ZIMMO TRADING ESTABLISHMENTMed city</t>
        </is>
      </c>
      <c r="O181" t="inlineStr">
        <is>
          <t>1309234201</t>
        </is>
      </c>
    </row>
    <row r="182">
      <c r="A182" t="inlineStr">
        <is>
          <t>A10BH</t>
        </is>
      </c>
      <c r="B182" t="inlineStr">
        <is>
          <t>DPP-4 inhibitors</t>
        </is>
      </c>
      <c r="C182" t="inlineStr">
        <is>
          <t>VILDAGLIPTIN</t>
        </is>
      </c>
      <c r="D182" t="inlineStr">
        <is>
          <t>Vtreat Met</t>
        </is>
      </c>
      <c r="E182" t="inlineStr">
        <is>
          <t>50,850</t>
        </is>
      </c>
      <c r="F182" t="inlineStr">
        <is>
          <t>mg</t>
        </is>
      </c>
      <c r="G182" t="inlineStr">
        <is>
          <t>Film-coated tablet</t>
        </is>
      </c>
      <c r="H182" t="n">
        <v>60</v>
      </c>
      <c r="I182" t="n">
        <v>80.34999999999999</v>
      </c>
      <c r="J182" s="5">
        <f>IF(H182&gt;0,I182/H182,"")</f>
        <v/>
      </c>
      <c r="K182" s="5">
        <f>IF(J182="","",J182/Inputs!$B$1)</f>
        <v/>
      </c>
      <c r="L182" t="inlineStr">
        <is>
          <t>Generic or other</t>
        </is>
      </c>
      <c r="M182" t="inlineStr">
        <is>
          <t>Spectro Pharma</t>
        </is>
      </c>
      <c r="N182" t="inlineStr">
        <is>
          <t>AL-TAIF PHARMACEUTICALS COMPANY (SPECTRO PHARMA)</t>
        </is>
      </c>
      <c r="O182" t="inlineStr">
        <is>
          <t>2108258085</t>
        </is>
      </c>
    </row>
    <row r="183">
      <c r="A183" t="inlineStr">
        <is>
          <t>A10BH</t>
        </is>
      </c>
      <c r="B183" t="inlineStr">
        <is>
          <t>DPP-4 inhibitors</t>
        </is>
      </c>
      <c r="C183" t="inlineStr">
        <is>
          <t>VILDAGLIPTIN</t>
        </is>
      </c>
      <c r="D183" t="inlineStr">
        <is>
          <t>Vtreat Met</t>
        </is>
      </c>
      <c r="E183" t="inlineStr">
        <is>
          <t>50,1000</t>
        </is>
      </c>
      <c r="F183" t="inlineStr">
        <is>
          <t>mg</t>
        </is>
      </c>
      <c r="G183" t="inlineStr">
        <is>
          <t>Film-coated tablet</t>
        </is>
      </c>
      <c r="H183" t="n">
        <v>60</v>
      </c>
      <c r="I183" t="n">
        <v>84.59999999999999</v>
      </c>
      <c r="J183" s="5">
        <f>IF(H183&gt;0,I183/H183,"")</f>
        <v/>
      </c>
      <c r="K183" s="5">
        <f>IF(J183="","",J183/Inputs!$B$1)</f>
        <v/>
      </c>
      <c r="L183" t="inlineStr">
        <is>
          <t>Generic or other</t>
        </is>
      </c>
      <c r="M183" t="inlineStr">
        <is>
          <t>Spectro Pharma</t>
        </is>
      </c>
      <c r="N183" t="inlineStr">
        <is>
          <t>AL-TAIF PHARMACEUTICALS COMPANY (SPECTRO PHARMA)</t>
        </is>
      </c>
      <c r="O183" t="inlineStr">
        <is>
          <t>2108258086</t>
        </is>
      </c>
    </row>
    <row r="184">
      <c r="A184" t="inlineStr">
        <is>
          <t>A10BH</t>
        </is>
      </c>
      <c r="B184" t="inlineStr">
        <is>
          <t>DPP-4 inhibitors</t>
        </is>
      </c>
      <c r="C184" t="inlineStr">
        <is>
          <t>VILDAGLIPTIN</t>
        </is>
      </c>
      <c r="D184" t="inlineStr">
        <is>
          <t>JALRA 50 mg tablet</t>
        </is>
      </c>
      <c r="E184" t="inlineStr">
        <is>
          <t>50</t>
        </is>
      </c>
      <c r="F184" t="inlineStr">
        <is>
          <t>mg</t>
        </is>
      </c>
      <c r="G184" t="inlineStr">
        <is>
          <t>Tablet</t>
        </is>
      </c>
      <c r="H184" t="n">
        <v>28</v>
      </c>
      <c r="I184" t="n">
        <v>45.6</v>
      </c>
      <c r="J184" s="5">
        <f>IF(H184&gt;0,I184/H184,"")</f>
        <v/>
      </c>
      <c r="K184" s="5">
        <f>IF(J184="","",J184/Inputs!$B$1)</f>
        <v/>
      </c>
      <c r="L184" t="inlineStr">
        <is>
          <t>Generic or other</t>
        </is>
      </c>
      <c r="M184" t="inlineStr">
        <is>
          <t>SAJA-SAUDI ARABIAN JAPANESE PHARMACEUTICAL CO</t>
        </is>
      </c>
      <c r="N184" t="inlineStr">
        <is>
          <t>Farouk, Maamoun Tamer &amp; CO</t>
        </is>
      </c>
      <c r="O184" t="inlineStr">
        <is>
          <t>2210258467</t>
        </is>
      </c>
    </row>
    <row r="185">
      <c r="A185" t="inlineStr">
        <is>
          <t>A10BH</t>
        </is>
      </c>
      <c r="B185" t="inlineStr">
        <is>
          <t>DPP-4 inhibitors</t>
        </is>
      </c>
      <c r="C185" t="inlineStr">
        <is>
          <t>VILDAGLIPTIN</t>
        </is>
      </c>
      <c r="D185" t="inlineStr">
        <is>
          <t>JALRA 50 mg tablet</t>
        </is>
      </c>
      <c r="E185" t="inlineStr">
        <is>
          <t>50</t>
        </is>
      </c>
      <c r="F185" t="inlineStr">
        <is>
          <t>mg</t>
        </is>
      </c>
      <c r="G185" t="inlineStr">
        <is>
          <t>Tablet</t>
        </is>
      </c>
      <c r="H185" t="n">
        <v>56</v>
      </c>
      <c r="I185" t="n">
        <v>91.2</v>
      </c>
      <c r="J185" s="5">
        <f>IF(H185&gt;0,I185/H185,"")</f>
        <v/>
      </c>
      <c r="K185" s="5">
        <f>IF(J185="","",J185/Inputs!$B$1)</f>
        <v/>
      </c>
      <c r="L185" t="inlineStr">
        <is>
          <t>Generic or other</t>
        </is>
      </c>
      <c r="M185" t="inlineStr">
        <is>
          <t>SAJA-SAUDI ARABIAN JAPANESE PHARMACEUTICAL CO</t>
        </is>
      </c>
      <c r="N185" t="inlineStr">
        <is>
          <t>Farouk, Maamoun Tamer &amp; CO</t>
        </is>
      </c>
      <c r="O185" t="inlineStr">
        <is>
          <t>2210258468</t>
        </is>
      </c>
    </row>
    <row r="186">
      <c r="A186" t="inlineStr">
        <is>
          <t>A10BH</t>
        </is>
      </c>
      <c r="B186" t="inlineStr">
        <is>
          <t>DPP-4 inhibitors</t>
        </is>
      </c>
      <c r="C186" t="inlineStr">
        <is>
          <t>VILDAGLIPTIN</t>
        </is>
      </c>
      <c r="D186" t="inlineStr">
        <is>
          <t>GALVUS 50MG TABLETS</t>
        </is>
      </c>
      <c r="E186" t="inlineStr">
        <is>
          <t>50</t>
        </is>
      </c>
      <c r="F186" t="inlineStr">
        <is>
          <t>mg</t>
        </is>
      </c>
      <c r="G186" t="inlineStr">
        <is>
          <t>Tablet</t>
        </is>
      </c>
      <c r="H186" t="n">
        <v>28</v>
      </c>
      <c r="I186" t="n">
        <v>56.1</v>
      </c>
      <c r="J186" s="5">
        <f>IF(H186&gt;0,I186/H186,"")</f>
        <v/>
      </c>
      <c r="K186" s="5">
        <f>IF(J186="","",J186/Inputs!$B$1)</f>
        <v/>
      </c>
      <c r="L186" t="inlineStr">
        <is>
          <t>Originator</t>
        </is>
      </c>
      <c r="M186" t="inlineStr">
        <is>
          <t>NOVARTIS</t>
        </is>
      </c>
      <c r="N186" t="inlineStr">
        <is>
          <t>Novartis Saudi Limited</t>
        </is>
      </c>
      <c r="O186" t="inlineStr">
        <is>
          <t>0910234317</t>
        </is>
      </c>
    </row>
    <row r="187">
      <c r="A187" t="inlineStr">
        <is>
          <t>A10BH</t>
        </is>
      </c>
      <c r="B187" t="inlineStr">
        <is>
          <t>DPP-4 inhibitors</t>
        </is>
      </c>
      <c r="C187" t="inlineStr">
        <is>
          <t>VILDAGLIPTIN</t>
        </is>
      </c>
      <c r="D187" t="inlineStr">
        <is>
          <t>GALVUS 50MG TABLETS</t>
        </is>
      </c>
      <c r="E187" t="inlineStr">
        <is>
          <t>50</t>
        </is>
      </c>
      <c r="F187" t="inlineStr">
        <is>
          <t>mg</t>
        </is>
      </c>
      <c r="G187" t="inlineStr">
        <is>
          <t>Tablet</t>
        </is>
      </c>
      <c r="H187" t="n">
        <v>56</v>
      </c>
      <c r="I187" t="n">
        <v>112.3</v>
      </c>
      <c r="J187" s="5">
        <f>IF(H187&gt;0,I187/H187,"")</f>
        <v/>
      </c>
      <c r="K187" s="5">
        <f>IF(J187="","",J187/Inputs!$B$1)</f>
        <v/>
      </c>
      <c r="L187" t="inlineStr">
        <is>
          <t>Originator</t>
        </is>
      </c>
      <c r="M187" t="inlineStr">
        <is>
          <t>NOVARTIS</t>
        </is>
      </c>
      <c r="N187" t="inlineStr">
        <is>
          <t>Novartis Saudi Limited</t>
        </is>
      </c>
      <c r="O187" t="inlineStr">
        <is>
          <t>0910234319</t>
        </is>
      </c>
    </row>
    <row r="188">
      <c r="A188" t="inlineStr">
        <is>
          <t>A10BK</t>
        </is>
      </c>
      <c r="B188" t="inlineStr">
        <is>
          <t>SGLT2 inhibitors</t>
        </is>
      </c>
      <c r="C188" t="inlineStr">
        <is>
          <t>DAPAGLIFLOZIN</t>
        </is>
      </c>
      <c r="D188" t="inlineStr">
        <is>
          <t>Volzamet XR</t>
        </is>
      </c>
      <c r="E188" t="inlineStr">
        <is>
          <t>5/1000</t>
        </is>
      </c>
      <c r="F188" t="inlineStr">
        <is>
          <t>mg</t>
        </is>
      </c>
      <c r="G188" t="inlineStr">
        <is>
          <t>Film-coated tablet</t>
        </is>
      </c>
      <c r="H188" t="n">
        <v>60</v>
      </c>
      <c r="I188" t="n">
        <v>109.7</v>
      </c>
      <c r="J188" s="5">
        <f>IF(H188&gt;0,I188/H188,"")</f>
        <v/>
      </c>
      <c r="K188" s="5">
        <f>IF(J188="","",J188/Inputs!$B$1)</f>
        <v/>
      </c>
      <c r="L188" t="inlineStr">
        <is>
          <t>Generic or other</t>
        </is>
      </c>
      <c r="M188" t="inlineStr">
        <is>
          <t>Cooper Pharma Arabia</t>
        </is>
      </c>
      <c r="N188" t="inlineStr">
        <is>
          <t>ARAC HEALTHCARE</t>
        </is>
      </c>
      <c r="O188" t="inlineStr">
        <is>
          <t>2601269019</t>
        </is>
      </c>
    </row>
    <row r="189">
      <c r="A189" t="inlineStr">
        <is>
          <t>A10BK</t>
        </is>
      </c>
      <c r="B189" t="inlineStr">
        <is>
          <t>SGLT2 inhibitors</t>
        </is>
      </c>
      <c r="C189" t="inlineStr">
        <is>
          <t>DAPAGLIFLOZIN</t>
        </is>
      </c>
      <c r="D189" t="inlineStr">
        <is>
          <t>Metflozin XR</t>
        </is>
      </c>
      <c r="E189" t="inlineStr">
        <is>
          <t>5,1000</t>
        </is>
      </c>
      <c r="F189" t="inlineStr">
        <is>
          <t>mg</t>
        </is>
      </c>
      <c r="G189" t="inlineStr">
        <is>
          <t>Film-coated tablet</t>
        </is>
      </c>
      <c r="H189" t="n">
        <v>30</v>
      </c>
      <c r="I189" t="n">
        <v>54.85</v>
      </c>
      <c r="J189" s="5">
        <f>IF(H189&gt;0,I189/H189,"")</f>
        <v/>
      </c>
      <c r="K189" s="5">
        <f>IF(J189="","",J189/Inputs!$B$1)</f>
        <v/>
      </c>
      <c r="L189" t="inlineStr">
        <is>
          <t>Generic or other</t>
        </is>
      </c>
      <c r="M189" t="inlineStr">
        <is>
          <t>SAUDI PHARMACEUTICAL INDUSTRIES</t>
        </is>
      </c>
      <c r="N189" t="inlineStr">
        <is>
          <t>SAUDI PHARMACEUTICAL INDUSTRIES</t>
        </is>
      </c>
      <c r="O189" t="inlineStr">
        <is>
          <t>3003269329</t>
        </is>
      </c>
    </row>
    <row r="190">
      <c r="A190" t="inlineStr">
        <is>
          <t>A10BK</t>
        </is>
      </c>
      <c r="B190" t="inlineStr">
        <is>
          <t>SGLT2 inhibitors</t>
        </is>
      </c>
      <c r="C190" t="inlineStr">
        <is>
          <t>DAPAGLIFLOZIN</t>
        </is>
      </c>
      <c r="D190" t="inlineStr">
        <is>
          <t>Dezeroga-Met</t>
        </is>
      </c>
      <c r="E190" t="inlineStr">
        <is>
          <t>5,1000</t>
        </is>
      </c>
      <c r="F190" t="inlineStr">
        <is>
          <t>mg</t>
        </is>
      </c>
      <c r="G190" t="inlineStr">
        <is>
          <t>Prolonged-release film-coated tablet</t>
        </is>
      </c>
      <c r="H190" t="n">
        <v>56</v>
      </c>
      <c r="I190" t="n">
        <v>110.9</v>
      </c>
      <c r="J190" s="5">
        <f>IF(H190&gt;0,I190/H190,"")</f>
        <v/>
      </c>
      <c r="K190" s="5">
        <f>IF(J190="","",J190/Inputs!$B$1)</f>
        <v/>
      </c>
      <c r="L190" t="inlineStr">
        <is>
          <t>Generic or other</t>
        </is>
      </c>
      <c r="M190" t="inlineStr">
        <is>
          <t>Med City Pharma</t>
        </is>
      </c>
      <c r="N190" t="inlineStr">
        <is>
          <t>ZIMMO TRADING ESTABLISHMENTMed city</t>
        </is>
      </c>
      <c r="O190" t="inlineStr">
        <is>
          <t>2511258649</t>
        </is>
      </c>
    </row>
    <row r="191">
      <c r="A191" t="inlineStr">
        <is>
          <t>A10BK</t>
        </is>
      </c>
      <c r="B191" t="inlineStr">
        <is>
          <t>SGLT2 inhibitors</t>
        </is>
      </c>
      <c r="C191" t="inlineStr">
        <is>
          <t>DAPAGLIFLOZIN</t>
        </is>
      </c>
      <c r="D191" t="inlineStr">
        <is>
          <t>Dapagloz</t>
        </is>
      </c>
      <c r="E191" t="inlineStr">
        <is>
          <t>5</t>
        </is>
      </c>
      <c r="F191" t="inlineStr">
        <is>
          <t>mg</t>
        </is>
      </c>
      <c r="G191" t="inlineStr">
        <is>
          <t>Film-coated tablet</t>
        </is>
      </c>
      <c r="H191" t="n">
        <v>30</v>
      </c>
      <c r="I191" t="n">
        <v>65.3</v>
      </c>
      <c r="J191" s="5">
        <f>IF(H191&gt;0,I191/H191,"")</f>
        <v/>
      </c>
      <c r="K191" s="5">
        <f>IF(J191="","",J191/Inputs!$B$1)</f>
        <v/>
      </c>
      <c r="L191" t="inlineStr">
        <is>
          <t>Generic or other</t>
        </is>
      </c>
      <c r="M191" t="inlineStr">
        <is>
          <t>Apex Pharma</t>
        </is>
      </c>
      <c r="N191" t="inlineStr">
        <is>
          <t>Apex Pharma</t>
        </is>
      </c>
      <c r="O191" t="inlineStr">
        <is>
          <t>0607257699</t>
        </is>
      </c>
    </row>
    <row r="192">
      <c r="A192" t="inlineStr">
        <is>
          <t>A10BK</t>
        </is>
      </c>
      <c r="B192" t="inlineStr">
        <is>
          <t>SGLT2 inhibitors</t>
        </is>
      </c>
      <c r="C192" t="inlineStr">
        <is>
          <t>DAPAGLIFLOZIN</t>
        </is>
      </c>
      <c r="D192" t="inlineStr">
        <is>
          <t>Pafazin</t>
        </is>
      </c>
      <c r="E192" t="inlineStr">
        <is>
          <t>10</t>
        </is>
      </c>
      <c r="F192" t="inlineStr">
        <is>
          <t>mg</t>
        </is>
      </c>
      <c r="G192" t="inlineStr">
        <is>
          <t>Film-coated tablet</t>
        </is>
      </c>
      <c r="H192" t="n">
        <v>30</v>
      </c>
      <c r="I192" t="n">
        <v>93.3</v>
      </c>
      <c r="J192" s="5">
        <f>IF(H192&gt;0,I192/H192,"")</f>
        <v/>
      </c>
      <c r="K192" s="5">
        <f>IF(J192="","",J192/Inputs!$B$1)</f>
        <v/>
      </c>
      <c r="L192" t="inlineStr">
        <is>
          <t>Generic or other</t>
        </is>
      </c>
      <c r="M192" t="inlineStr">
        <is>
          <t>Pharma Pharmaceutical Industries (PPI)</t>
        </is>
      </c>
      <c r="N192" t="inlineStr">
        <is>
          <t>Pharma Pharmaceutical Industries (PPI)</t>
        </is>
      </c>
      <c r="O192" t="inlineStr">
        <is>
          <t>2211234530</t>
        </is>
      </c>
    </row>
    <row r="193">
      <c r="A193" t="inlineStr">
        <is>
          <t>A10BK</t>
        </is>
      </c>
      <c r="B193" t="inlineStr">
        <is>
          <t>SGLT2 inhibitors</t>
        </is>
      </c>
      <c r="C193" t="inlineStr">
        <is>
          <t>DAPAGLIFLOZIN</t>
        </is>
      </c>
      <c r="D193" t="inlineStr">
        <is>
          <t>Pafazin</t>
        </is>
      </c>
      <c r="E193" t="inlineStr">
        <is>
          <t>5</t>
        </is>
      </c>
      <c r="F193" t="inlineStr">
        <is>
          <t>mg</t>
        </is>
      </c>
      <c r="G193" t="inlineStr">
        <is>
          <t>Film-coated tablet</t>
        </is>
      </c>
      <c r="H193" t="n">
        <v>30</v>
      </c>
      <c r="I193" t="n">
        <v>93.3</v>
      </c>
      <c r="J193" s="5">
        <f>IF(H193&gt;0,I193/H193,"")</f>
        <v/>
      </c>
      <c r="K193" s="5">
        <f>IF(J193="","",J193/Inputs!$B$1)</f>
        <v/>
      </c>
      <c r="L193" t="inlineStr">
        <is>
          <t>Generic or other</t>
        </is>
      </c>
      <c r="M193" t="inlineStr">
        <is>
          <t>Pharma Pharmaceutical Industries &amp; Biological Products (PPI)</t>
        </is>
      </c>
      <c r="N193" t="inlineStr">
        <is>
          <t>Pharma Pharmaceutical Industries (PPI)</t>
        </is>
      </c>
      <c r="O193" t="inlineStr">
        <is>
          <t>2211234528</t>
        </is>
      </c>
    </row>
    <row r="194">
      <c r="A194" t="inlineStr">
        <is>
          <t>A10BK</t>
        </is>
      </c>
      <c r="B194" t="inlineStr">
        <is>
          <t>SGLT2 inhibitors</t>
        </is>
      </c>
      <c r="C194" t="inlineStr">
        <is>
          <t>DAPAGLIFLOZIN</t>
        </is>
      </c>
      <c r="D194" t="inlineStr">
        <is>
          <t>Gripdi</t>
        </is>
      </c>
      <c r="E194" t="inlineStr">
        <is>
          <t>10</t>
        </is>
      </c>
      <c r="F194" t="inlineStr">
        <is>
          <t>mg</t>
        </is>
      </c>
      <c r="G194" t="inlineStr">
        <is>
          <t>Film-coated tablet</t>
        </is>
      </c>
      <c r="H194" t="n">
        <v>30</v>
      </c>
      <c r="I194" t="n">
        <v>93.3</v>
      </c>
      <c r="J194" s="5">
        <f>IF(H194&gt;0,I194/H194,"")</f>
        <v/>
      </c>
      <c r="K194" s="5">
        <f>IF(J194="","",J194/Inputs!$B$1)</f>
        <v/>
      </c>
      <c r="L194" t="inlineStr">
        <is>
          <t>Generic or other</t>
        </is>
      </c>
      <c r="M194" t="inlineStr">
        <is>
          <t>APOTEX</t>
        </is>
      </c>
      <c r="N194" t="inlineStr">
        <is>
          <t>Cigalah Group</t>
        </is>
      </c>
      <c r="O194" t="inlineStr">
        <is>
          <t>2909245968</t>
        </is>
      </c>
    </row>
    <row r="195">
      <c r="A195" t="inlineStr">
        <is>
          <t>A10BK</t>
        </is>
      </c>
      <c r="B195" t="inlineStr">
        <is>
          <t>SGLT2 inhibitors</t>
        </is>
      </c>
      <c r="C195" t="inlineStr">
        <is>
          <t>DAPAGLIFLOZIN</t>
        </is>
      </c>
      <c r="D195" t="inlineStr">
        <is>
          <t>Gripdi</t>
        </is>
      </c>
      <c r="E195" t="inlineStr">
        <is>
          <t>5</t>
        </is>
      </c>
      <c r="F195" t="inlineStr">
        <is>
          <t>mg</t>
        </is>
      </c>
      <c r="G195" t="inlineStr">
        <is>
          <t>Film-coated tablet</t>
        </is>
      </c>
      <c r="H195" t="n">
        <v>30</v>
      </c>
      <c r="I195" t="n">
        <v>93.3</v>
      </c>
      <c r="J195" s="5">
        <f>IF(H195&gt;0,I195/H195,"")</f>
        <v/>
      </c>
      <c r="K195" s="5">
        <f>IF(J195="","",J195/Inputs!$B$1)</f>
        <v/>
      </c>
      <c r="L195" t="inlineStr">
        <is>
          <t>Generic or other</t>
        </is>
      </c>
      <c r="M195" t="inlineStr">
        <is>
          <t>APOTEX</t>
        </is>
      </c>
      <c r="N195" t="inlineStr">
        <is>
          <t>Cigalah Group</t>
        </is>
      </c>
      <c r="O195" t="inlineStr">
        <is>
          <t>3009245976</t>
        </is>
      </c>
    </row>
    <row r="196">
      <c r="A196" t="inlineStr">
        <is>
          <t>A10BK</t>
        </is>
      </c>
      <c r="B196" t="inlineStr">
        <is>
          <t>SGLT2 inhibitors</t>
        </is>
      </c>
      <c r="C196" t="inlineStr">
        <is>
          <t>DAPAGLIFLOZIN</t>
        </is>
      </c>
      <c r="D196" t="inlineStr">
        <is>
          <t>Dapagloz</t>
        </is>
      </c>
      <c r="E196" t="inlineStr">
        <is>
          <t>10</t>
        </is>
      </c>
      <c r="F196" t="inlineStr">
        <is>
          <t>mg</t>
        </is>
      </c>
      <c r="G196" t="inlineStr">
        <is>
          <t>Film-coated tablet</t>
        </is>
      </c>
      <c r="H196" t="n">
        <v>30</v>
      </c>
      <c r="I196" t="n">
        <v>93.3</v>
      </c>
      <c r="J196" s="5">
        <f>IF(H196&gt;0,I196/H196,"")</f>
        <v/>
      </c>
      <c r="K196" s="5">
        <f>IF(J196="","",J196/Inputs!$B$1)</f>
        <v/>
      </c>
      <c r="L196" t="inlineStr">
        <is>
          <t>Generic or other</t>
        </is>
      </c>
      <c r="M196" t="inlineStr">
        <is>
          <t>Apex Pharma</t>
        </is>
      </c>
      <c r="N196" t="inlineStr">
        <is>
          <t>Apex Pharma</t>
        </is>
      </c>
      <c r="O196" t="inlineStr">
        <is>
          <t>0607257698</t>
        </is>
      </c>
    </row>
    <row r="197">
      <c r="A197" t="inlineStr">
        <is>
          <t>A10BK</t>
        </is>
      </c>
      <c r="B197" t="inlineStr">
        <is>
          <t>SGLT2 inhibitors</t>
        </is>
      </c>
      <c r="C197" t="inlineStr">
        <is>
          <t>DAPAGLIFLOZIN</t>
        </is>
      </c>
      <c r="D197" t="inlineStr">
        <is>
          <t>Depaxa</t>
        </is>
      </c>
      <c r="E197" t="inlineStr">
        <is>
          <t>5</t>
        </is>
      </c>
      <c r="F197" t="inlineStr">
        <is>
          <t>mg</t>
        </is>
      </c>
      <c r="G197" t="inlineStr">
        <is>
          <t>Film-coated tablet</t>
        </is>
      </c>
      <c r="H197" t="n">
        <v>30</v>
      </c>
      <c r="I197" t="n">
        <v>93.3</v>
      </c>
      <c r="J197" s="5">
        <f>IF(H197&gt;0,I197/H197,"")</f>
        <v/>
      </c>
      <c r="K197" s="5">
        <f>IF(J197="","",J197/Inputs!$B$1)</f>
        <v/>
      </c>
      <c r="L197" t="inlineStr">
        <is>
          <t>Generic or other</t>
        </is>
      </c>
      <c r="M197" t="inlineStr">
        <is>
          <t>Pharco International pharmaceutical company</t>
        </is>
      </c>
      <c r="N197" t="inlineStr">
        <is>
          <t>Pharco International pharmaceutical companyCigalah Group</t>
        </is>
      </c>
      <c r="O197" t="inlineStr">
        <is>
          <t>3004269568</t>
        </is>
      </c>
    </row>
    <row r="198">
      <c r="A198" t="inlineStr">
        <is>
          <t>A10BK</t>
        </is>
      </c>
      <c r="B198" t="inlineStr">
        <is>
          <t>SGLT2 inhibitors</t>
        </is>
      </c>
      <c r="C198" t="inlineStr">
        <is>
          <t>DAPAGLIFLOZIN</t>
        </is>
      </c>
      <c r="D198" t="inlineStr">
        <is>
          <t>Depaxa</t>
        </is>
      </c>
      <c r="E198" t="inlineStr">
        <is>
          <t>10</t>
        </is>
      </c>
      <c r="F198" t="inlineStr">
        <is>
          <t>mg</t>
        </is>
      </c>
      <c r="G198" t="inlineStr">
        <is>
          <t>Film-coated tablet</t>
        </is>
      </c>
      <c r="H198" t="n">
        <v>30</v>
      </c>
      <c r="I198" t="n">
        <v>93.3</v>
      </c>
      <c r="J198" s="5">
        <f>IF(H198&gt;0,I198/H198,"")</f>
        <v/>
      </c>
      <c r="K198" s="5">
        <f>IF(J198="","",J198/Inputs!$B$1)</f>
        <v/>
      </c>
      <c r="L198" t="inlineStr">
        <is>
          <t>Generic or other</t>
        </is>
      </c>
      <c r="M198" t="inlineStr">
        <is>
          <t>Pharco International pharmaceutical company</t>
        </is>
      </c>
      <c r="N198" t="inlineStr">
        <is>
          <t>Pharco International pharmaceutical companyCigalah Group</t>
        </is>
      </c>
      <c r="O198" t="inlineStr">
        <is>
          <t>3004269567</t>
        </is>
      </c>
    </row>
    <row r="199">
      <c r="A199" t="inlineStr">
        <is>
          <t>A10BK</t>
        </is>
      </c>
      <c r="B199" t="inlineStr">
        <is>
          <t>SGLT2 inhibitors</t>
        </is>
      </c>
      <c r="C199" t="inlineStr">
        <is>
          <t>DAPAGLIFLOZIN</t>
        </is>
      </c>
      <c r="D199" t="inlineStr">
        <is>
          <t>DIFIA</t>
        </is>
      </c>
      <c r="E199" t="inlineStr">
        <is>
          <t>5</t>
        </is>
      </c>
      <c r="F199" t="inlineStr">
        <is>
          <t>mg</t>
        </is>
      </c>
      <c r="G199" t="inlineStr">
        <is>
          <t>Film-coated tablet</t>
        </is>
      </c>
      <c r="H199" t="n">
        <v>30</v>
      </c>
      <c r="I199" t="n">
        <v>93.3</v>
      </c>
      <c r="J199" s="5">
        <f>IF(H199&gt;0,I199/H199,"")</f>
        <v/>
      </c>
      <c r="K199" s="5">
        <f>IF(J199="","",J199/Inputs!$B$1)</f>
        <v/>
      </c>
      <c r="L199" t="inlineStr">
        <is>
          <t>Generic or other</t>
        </is>
      </c>
      <c r="M199" t="inlineStr">
        <is>
          <t>ALPHA PHARMA INDUSTRY</t>
        </is>
      </c>
      <c r="N199" t="inlineStr">
        <is>
          <t>Alpha Pharma Industry</t>
        </is>
      </c>
      <c r="O199" t="inlineStr">
        <is>
          <t>0510260622</t>
        </is>
      </c>
    </row>
    <row r="200">
      <c r="A200" t="inlineStr">
        <is>
          <t>A10BK</t>
        </is>
      </c>
      <c r="B200" t="inlineStr">
        <is>
          <t>SGLT2 inhibitors</t>
        </is>
      </c>
      <c r="C200" t="inlineStr">
        <is>
          <t>DAPAGLIFLOZIN</t>
        </is>
      </c>
      <c r="D200" t="inlineStr">
        <is>
          <t>Xija</t>
        </is>
      </c>
      <c r="E200" t="inlineStr">
        <is>
          <t>10</t>
        </is>
      </c>
      <c r="F200" t="inlineStr">
        <is>
          <t>mg</t>
        </is>
      </c>
      <c r="G200" t="inlineStr">
        <is>
          <t>Film-coated tablet</t>
        </is>
      </c>
      <c r="H200" t="n">
        <v>30</v>
      </c>
      <c r="I200" t="n">
        <v>98.2</v>
      </c>
      <c r="J200" s="5">
        <f>IF(H200&gt;0,I200/H200,"")</f>
        <v/>
      </c>
      <c r="K200" s="5">
        <f>IF(J200="","",J200/Inputs!$B$1)</f>
        <v/>
      </c>
      <c r="L200" t="inlineStr">
        <is>
          <t>Generic or other</t>
        </is>
      </c>
      <c r="M200" t="inlineStr">
        <is>
          <t>Cooper Pharma Arabia</t>
        </is>
      </c>
      <c r="N200" t="inlineStr">
        <is>
          <t>ARAC HEALTHCARE</t>
        </is>
      </c>
      <c r="O200" t="inlineStr">
        <is>
          <t>2811258677</t>
        </is>
      </c>
    </row>
    <row r="201">
      <c r="A201" t="inlineStr">
        <is>
          <t>A10BK</t>
        </is>
      </c>
      <c r="B201" t="inlineStr">
        <is>
          <t>SGLT2 inhibitors</t>
        </is>
      </c>
      <c r="C201" t="inlineStr">
        <is>
          <t>DAPAGLIFLOZIN</t>
        </is>
      </c>
      <c r="D201" t="inlineStr">
        <is>
          <t>Xija</t>
        </is>
      </c>
      <c r="E201" t="inlineStr">
        <is>
          <t>5</t>
        </is>
      </c>
      <c r="F201" t="inlineStr">
        <is>
          <t>mg</t>
        </is>
      </c>
      <c r="G201" t="inlineStr">
        <is>
          <t>Film-coated tablet</t>
        </is>
      </c>
      <c r="H201" t="n">
        <v>30</v>
      </c>
      <c r="I201" t="n">
        <v>98.2</v>
      </c>
      <c r="J201" s="5">
        <f>IF(H201&gt;0,I201/H201,"")</f>
        <v/>
      </c>
      <c r="K201" s="5">
        <f>IF(J201="","",J201/Inputs!$B$1)</f>
        <v/>
      </c>
      <c r="L201" t="inlineStr">
        <is>
          <t>Generic or other</t>
        </is>
      </c>
      <c r="M201" t="inlineStr">
        <is>
          <t>Cooper Pharma Arabia</t>
        </is>
      </c>
      <c r="N201" t="inlineStr">
        <is>
          <t>ARAC HEALTHCARE</t>
        </is>
      </c>
      <c r="O201" t="inlineStr">
        <is>
          <t>2811258676</t>
        </is>
      </c>
    </row>
    <row r="202">
      <c r="A202" t="inlineStr">
        <is>
          <t>A10BK</t>
        </is>
      </c>
      <c r="B202" t="inlineStr">
        <is>
          <t>SGLT2 inhibitors</t>
        </is>
      </c>
      <c r="C202" t="inlineStr">
        <is>
          <t>DAPAGLIFLOZIN</t>
        </is>
      </c>
      <c r="D202" t="inlineStr">
        <is>
          <t>Xija plus</t>
        </is>
      </c>
      <c r="E202" t="inlineStr">
        <is>
          <t>10/1000</t>
        </is>
      </c>
      <c r="F202" t="inlineStr">
        <is>
          <t>mg</t>
        </is>
      </c>
      <c r="G202" t="inlineStr">
        <is>
          <t>Film-coated tablet</t>
        </is>
      </c>
      <c r="H202" t="n">
        <v>30</v>
      </c>
      <c r="I202" t="n">
        <v>106.6</v>
      </c>
      <c r="J202" s="5">
        <f>IF(H202&gt;0,I202/H202,"")</f>
        <v/>
      </c>
      <c r="K202" s="5">
        <f>IF(J202="","",J202/Inputs!$B$1)</f>
        <v/>
      </c>
      <c r="L202" t="inlineStr">
        <is>
          <t>Generic or other</t>
        </is>
      </c>
      <c r="M202" t="inlineStr">
        <is>
          <t>Cooper Pharma Arabia</t>
        </is>
      </c>
      <c r="N202" t="inlineStr">
        <is>
          <t>ARAC HEALTHCARE</t>
        </is>
      </c>
      <c r="O202" t="inlineStr">
        <is>
          <t>2601269018</t>
        </is>
      </c>
    </row>
    <row r="203">
      <c r="A203" t="inlineStr">
        <is>
          <t>A10BK</t>
        </is>
      </c>
      <c r="B203" t="inlineStr">
        <is>
          <t>SGLT2 inhibitors</t>
        </is>
      </c>
      <c r="C203" t="inlineStr">
        <is>
          <t>DAPAGLIFLOZIN</t>
        </is>
      </c>
      <c r="D203" t="inlineStr">
        <is>
          <t>Metflozin XR</t>
        </is>
      </c>
      <c r="E203" t="inlineStr">
        <is>
          <t>10,1000</t>
        </is>
      </c>
      <c r="F203" t="inlineStr">
        <is>
          <t>mg</t>
        </is>
      </c>
      <c r="G203" t="inlineStr">
        <is>
          <t>Film-coated tablet</t>
        </is>
      </c>
      <c r="H203" t="n">
        <v>30</v>
      </c>
      <c r="I203" t="n">
        <v>106.6</v>
      </c>
      <c r="J203" s="5">
        <f>IF(H203&gt;0,I203/H203,"")</f>
        <v/>
      </c>
      <c r="K203" s="5">
        <f>IF(J203="","",J203/Inputs!$B$1)</f>
        <v/>
      </c>
      <c r="L203" t="inlineStr">
        <is>
          <t>Generic or other</t>
        </is>
      </c>
      <c r="M203" t="inlineStr">
        <is>
          <t>SAUDI PHARMACEUTICAL INDUSTRIES</t>
        </is>
      </c>
      <c r="N203" t="inlineStr">
        <is>
          <t>SAUDI PHARMACEUTICAL INDUSTRIES</t>
        </is>
      </c>
      <c r="O203" t="inlineStr">
        <is>
          <t>3003269330</t>
        </is>
      </c>
    </row>
    <row r="204">
      <c r="A204" t="inlineStr">
        <is>
          <t>A10BK</t>
        </is>
      </c>
      <c r="B204" t="inlineStr">
        <is>
          <t>SGLT2 inhibitors</t>
        </is>
      </c>
      <c r="C204" t="inlineStr">
        <is>
          <t>DAPAGLIFLOZIN</t>
        </is>
      </c>
      <c r="D204" t="inlineStr">
        <is>
          <t>Dezeroga-Met</t>
        </is>
      </c>
      <c r="E204" t="inlineStr">
        <is>
          <t>10,1000</t>
        </is>
      </c>
      <c r="F204" t="inlineStr">
        <is>
          <t>mg</t>
        </is>
      </c>
      <c r="G204" t="inlineStr">
        <is>
          <t>Prolonged-release film-coated tablet</t>
        </is>
      </c>
      <c r="H204" t="n">
        <v>28</v>
      </c>
      <c r="I204" t="n">
        <v>107.8</v>
      </c>
      <c r="J204" s="5">
        <f>IF(H204&gt;0,I204/H204,"")</f>
        <v/>
      </c>
      <c r="K204" s="5">
        <f>IF(J204="","",J204/Inputs!$B$1)</f>
        <v/>
      </c>
      <c r="L204" t="inlineStr">
        <is>
          <t>Generic or other</t>
        </is>
      </c>
      <c r="M204" t="inlineStr">
        <is>
          <t>Med City Pharma</t>
        </is>
      </c>
      <c r="N204" t="inlineStr">
        <is>
          <t>ZIMMO TRADING ESTABLISHMENTMed city</t>
        </is>
      </c>
      <c r="O204" t="inlineStr">
        <is>
          <t>2511258648</t>
        </is>
      </c>
    </row>
    <row r="205">
      <c r="A205" t="inlineStr">
        <is>
          <t>A10BK</t>
        </is>
      </c>
      <c r="B205" t="inlineStr">
        <is>
          <t>SGLT2 inhibitors</t>
        </is>
      </c>
      <c r="C205" t="inlineStr">
        <is>
          <t>DAPAGLIFLOZIN</t>
        </is>
      </c>
      <c r="D205" t="inlineStr">
        <is>
          <t>Dapxiga</t>
        </is>
      </c>
      <c r="E205" t="inlineStr">
        <is>
          <t>5</t>
        </is>
      </c>
      <c r="F205" t="inlineStr">
        <is>
          <t>mg</t>
        </is>
      </c>
      <c r="G205" t="inlineStr">
        <is>
          <t>Film-coated tablet</t>
        </is>
      </c>
      <c r="H205" t="n">
        <v>30</v>
      </c>
      <c r="I205" t="n">
        <v>135.95</v>
      </c>
      <c r="J205" s="5">
        <f>IF(H205&gt;0,I205/H205,"")</f>
        <v/>
      </c>
      <c r="K205" s="5">
        <f>IF(J205="","",J205/Inputs!$B$1)</f>
        <v/>
      </c>
      <c r="L205" t="inlineStr">
        <is>
          <t>Generic or other</t>
        </is>
      </c>
      <c r="M205" t="inlineStr">
        <is>
          <t>Saudi Amarox</t>
        </is>
      </c>
      <c r="N205" t="inlineStr">
        <is>
          <t>Saudi AmaroxFarouk, Maamoun Tamer &amp; CO</t>
        </is>
      </c>
      <c r="O205" t="inlineStr">
        <is>
          <t>2906222285</t>
        </is>
      </c>
    </row>
    <row r="206">
      <c r="A206" t="inlineStr">
        <is>
          <t>A10BK</t>
        </is>
      </c>
      <c r="B206" t="inlineStr">
        <is>
          <t>SGLT2 inhibitors</t>
        </is>
      </c>
      <c r="C206" t="inlineStr">
        <is>
          <t>DAPAGLIFLOZIN</t>
        </is>
      </c>
      <c r="D206" t="inlineStr">
        <is>
          <t>Dapxiga</t>
        </is>
      </c>
      <c r="E206" t="inlineStr">
        <is>
          <t>10</t>
        </is>
      </c>
      <c r="F206" t="inlineStr">
        <is>
          <t>mg</t>
        </is>
      </c>
      <c r="G206" t="inlineStr">
        <is>
          <t>Film-coated tablet</t>
        </is>
      </c>
      <c r="H206" t="n">
        <v>30</v>
      </c>
      <c r="I206" t="n">
        <v>135.95</v>
      </c>
      <c r="J206" s="5">
        <f>IF(H206&gt;0,I206/H206,"")</f>
        <v/>
      </c>
      <c r="K206" s="5">
        <f>IF(J206="","",J206/Inputs!$B$1)</f>
        <v/>
      </c>
      <c r="L206" t="inlineStr">
        <is>
          <t>Generic or other</t>
        </is>
      </c>
      <c r="M206" t="inlineStr">
        <is>
          <t>Saudi Amarox</t>
        </is>
      </c>
      <c r="N206" t="inlineStr">
        <is>
          <t>Saudi AmaroxFarouk, Maamoun Tamer &amp; CO</t>
        </is>
      </c>
      <c r="O206" t="inlineStr">
        <is>
          <t>2906222287</t>
        </is>
      </c>
    </row>
    <row r="207">
      <c r="A207" t="inlineStr">
        <is>
          <t>A10BK</t>
        </is>
      </c>
      <c r="B207" t="inlineStr">
        <is>
          <t>SGLT2 inhibitors</t>
        </is>
      </c>
      <c r="C207" t="inlineStr">
        <is>
          <t>DAPAGLIFLOZIN</t>
        </is>
      </c>
      <c r="D207" t="inlineStr">
        <is>
          <t>Forsdapa</t>
        </is>
      </c>
      <c r="E207" t="inlineStr">
        <is>
          <t>10</t>
        </is>
      </c>
      <c r="F207" t="inlineStr">
        <is>
          <t>mg</t>
        </is>
      </c>
      <c r="G207" t="inlineStr">
        <is>
          <t>Film-coated tablet</t>
        </is>
      </c>
      <c r="H207" t="n">
        <v>30</v>
      </c>
      <c r="I207" t="n">
        <v>135.95</v>
      </c>
      <c r="J207" s="5">
        <f>IF(H207&gt;0,I207/H207,"")</f>
        <v/>
      </c>
      <c r="K207" s="5">
        <f>IF(J207="","",J207/Inputs!$B$1)</f>
        <v/>
      </c>
      <c r="L207" t="inlineStr">
        <is>
          <t>Generic or other</t>
        </is>
      </c>
      <c r="M207" t="inlineStr">
        <is>
          <t>SAUDI PHARMACEUTICAL INDUSTRIES</t>
        </is>
      </c>
      <c r="N207" t="inlineStr">
        <is>
          <t>SAUDI PHARMACEUTICAL INDUSTRIES</t>
        </is>
      </c>
      <c r="O207" t="inlineStr">
        <is>
          <t>2406257609</t>
        </is>
      </c>
    </row>
    <row r="208">
      <c r="A208" t="inlineStr">
        <is>
          <t>A10BK</t>
        </is>
      </c>
      <c r="B208" t="inlineStr">
        <is>
          <t>SGLT2 inhibitors</t>
        </is>
      </c>
      <c r="C208" t="inlineStr">
        <is>
          <t>DAPAGLIFLOZIN</t>
        </is>
      </c>
      <c r="D208" t="inlineStr">
        <is>
          <t>Forsdapa</t>
        </is>
      </c>
      <c r="E208" t="inlineStr">
        <is>
          <t>5</t>
        </is>
      </c>
      <c r="F208" t="inlineStr">
        <is>
          <t>mg</t>
        </is>
      </c>
      <c r="G208" t="inlineStr">
        <is>
          <t>Film-coated tablet</t>
        </is>
      </c>
      <c r="H208" t="n">
        <v>30</v>
      </c>
      <c r="I208" t="n">
        <v>135.95</v>
      </c>
      <c r="J208" s="5">
        <f>IF(H208&gt;0,I208/H208,"")</f>
        <v/>
      </c>
      <c r="K208" s="5">
        <f>IF(J208="","",J208/Inputs!$B$1)</f>
        <v/>
      </c>
      <c r="L208" t="inlineStr">
        <is>
          <t>Generic or other</t>
        </is>
      </c>
      <c r="M208" t="inlineStr">
        <is>
          <t>SAUDI PHARMACEUTICAL INDUSTRIES</t>
        </is>
      </c>
      <c r="N208" t="inlineStr">
        <is>
          <t>SAUDI PHARMACEUTICAL INDUSTRIES</t>
        </is>
      </c>
      <c r="O208" t="inlineStr">
        <is>
          <t>2110258447</t>
        </is>
      </c>
    </row>
    <row r="209">
      <c r="A209" t="inlineStr">
        <is>
          <t>A10BK</t>
        </is>
      </c>
      <c r="B209" t="inlineStr">
        <is>
          <t>SGLT2 inhibitors</t>
        </is>
      </c>
      <c r="C209" t="inlineStr">
        <is>
          <t>DAPAGLIFLOZIN</t>
        </is>
      </c>
      <c r="D209" t="inlineStr">
        <is>
          <t>Dapinzo</t>
        </is>
      </c>
      <c r="E209" t="inlineStr">
        <is>
          <t>5</t>
        </is>
      </c>
      <c r="F209" t="inlineStr">
        <is>
          <t>mg</t>
        </is>
      </c>
      <c r="G209" t="inlineStr">
        <is>
          <t>Film-coated tablet</t>
        </is>
      </c>
      <c r="H209" t="n">
        <v>30</v>
      </c>
      <c r="I209" t="n">
        <v>135.95</v>
      </c>
      <c r="J209" s="5">
        <f>IF(H209&gt;0,I209/H209,"")</f>
        <v/>
      </c>
      <c r="K209" s="5">
        <f>IF(J209="","",J209/Inputs!$B$1)</f>
        <v/>
      </c>
      <c r="L209" t="inlineStr">
        <is>
          <t>Generic or other</t>
        </is>
      </c>
      <c r="M209" t="inlineStr">
        <is>
          <t>SAJA-SAUDI ARABIAN JAPANESE PHARMACEUTICAL CO</t>
        </is>
      </c>
      <c r="N209" t="inlineStr">
        <is>
          <t>Farouk, Maamoun Tamer &amp; CO</t>
        </is>
      </c>
      <c r="O209" t="inlineStr">
        <is>
          <t>0502269104</t>
        </is>
      </c>
    </row>
    <row r="210">
      <c r="A210" t="inlineStr">
        <is>
          <t>A10BK</t>
        </is>
      </c>
      <c r="B210" t="inlineStr">
        <is>
          <t>SGLT2 inhibitors</t>
        </is>
      </c>
      <c r="C210" t="inlineStr">
        <is>
          <t>DAPAGLIFLOZIN</t>
        </is>
      </c>
      <c r="D210" t="inlineStr">
        <is>
          <t>Dapinzo</t>
        </is>
      </c>
      <c r="E210" t="inlineStr">
        <is>
          <t>10</t>
        </is>
      </c>
      <c r="F210" t="inlineStr">
        <is>
          <t>mg</t>
        </is>
      </c>
      <c r="G210" t="inlineStr">
        <is>
          <t>Film-coated tablet</t>
        </is>
      </c>
      <c r="H210" t="n">
        <v>30</v>
      </c>
      <c r="I210" t="n">
        <v>135.95</v>
      </c>
      <c r="J210" s="5">
        <f>IF(H210&gt;0,I210/H210,"")</f>
        <v/>
      </c>
      <c r="K210" s="5">
        <f>IF(J210="","",J210/Inputs!$B$1)</f>
        <v/>
      </c>
      <c r="L210" t="inlineStr">
        <is>
          <t>Generic or other</t>
        </is>
      </c>
      <c r="M210" t="inlineStr">
        <is>
          <t>SAJA-SAUDI ARABIAN JAPANESE PHARMACEUTICAL CO</t>
        </is>
      </c>
      <c r="N210" t="inlineStr">
        <is>
          <t>Farouk, Maamoun Tamer &amp; CO</t>
        </is>
      </c>
      <c r="O210" t="inlineStr">
        <is>
          <t>0802269108</t>
        </is>
      </c>
    </row>
    <row r="211">
      <c r="A211" t="inlineStr">
        <is>
          <t>A10BK</t>
        </is>
      </c>
      <c r="B211" t="inlineStr">
        <is>
          <t>SGLT2 inhibitors</t>
        </is>
      </c>
      <c r="C211" t="inlineStr">
        <is>
          <t>DAPAGLIFLOZIN</t>
        </is>
      </c>
      <c r="D211" t="inlineStr">
        <is>
          <t>Daglozin</t>
        </is>
      </c>
      <c r="E211" t="inlineStr">
        <is>
          <t>5</t>
        </is>
      </c>
      <c r="F211" t="inlineStr">
        <is>
          <t>mg</t>
        </is>
      </c>
      <c r="G211" t="inlineStr">
        <is>
          <t>Film-coated tablet</t>
        </is>
      </c>
      <c r="H211" t="n">
        <v>30</v>
      </c>
      <c r="I211" t="n">
        <v>144.8</v>
      </c>
      <c r="J211" s="5">
        <f>IF(H211&gt;0,I211/H211,"")</f>
        <v/>
      </c>
      <c r="K211" s="5">
        <f>IF(J211="","",J211/Inputs!$B$1)</f>
        <v/>
      </c>
      <c r="L211" t="inlineStr">
        <is>
          <t>Generic or other</t>
        </is>
      </c>
      <c r="M211" t="inlineStr">
        <is>
          <t>SUDAIR PHARMA COMPANY</t>
        </is>
      </c>
      <c r="N211" t="inlineStr">
        <is>
          <t>SUDAIR PHARMA COMPANY</t>
        </is>
      </c>
      <c r="O211" t="inlineStr">
        <is>
          <t>2706245445</t>
        </is>
      </c>
    </row>
    <row r="212">
      <c r="A212" t="inlineStr">
        <is>
          <t>A10BK</t>
        </is>
      </c>
      <c r="B212" t="inlineStr">
        <is>
          <t>SGLT2 inhibitors</t>
        </is>
      </c>
      <c r="C212" t="inlineStr">
        <is>
          <t>DAPAGLIFLOZIN</t>
        </is>
      </c>
      <c r="D212" t="inlineStr">
        <is>
          <t>Daglozin</t>
        </is>
      </c>
      <c r="E212" t="inlineStr">
        <is>
          <t>10</t>
        </is>
      </c>
      <c r="F212" t="inlineStr">
        <is>
          <t>mg</t>
        </is>
      </c>
      <c r="G212" t="inlineStr">
        <is>
          <t>Film-coated tablet</t>
        </is>
      </c>
      <c r="H212" t="n">
        <v>30</v>
      </c>
      <c r="I212" t="n">
        <v>144.8</v>
      </c>
      <c r="J212" s="5">
        <f>IF(H212&gt;0,I212/H212,"")</f>
        <v/>
      </c>
      <c r="K212" s="5">
        <f>IF(J212="","",J212/Inputs!$B$1)</f>
        <v/>
      </c>
      <c r="L212" t="inlineStr">
        <is>
          <t>Generic or other</t>
        </is>
      </c>
      <c r="M212" t="inlineStr">
        <is>
          <t>SUDAIR PHARMA COMPANY</t>
        </is>
      </c>
      <c r="N212" t="inlineStr">
        <is>
          <t>SUDAIR PHARMA COMPANY</t>
        </is>
      </c>
      <c r="O212" t="inlineStr">
        <is>
          <t>2706245444</t>
        </is>
      </c>
    </row>
    <row r="213">
      <c r="A213" t="inlineStr">
        <is>
          <t>A10BK</t>
        </is>
      </c>
      <c r="B213" t="inlineStr">
        <is>
          <t>SGLT2 inhibitors</t>
        </is>
      </c>
      <c r="C213" t="inlineStr">
        <is>
          <t>DAPAGLIFLOZIN</t>
        </is>
      </c>
      <c r="D213" t="inlineStr">
        <is>
          <t>Dapagliflozin Evapharma</t>
        </is>
      </c>
      <c r="E213" t="inlineStr">
        <is>
          <t>10</t>
        </is>
      </c>
      <c r="F213" t="inlineStr">
        <is>
          <t>mg</t>
        </is>
      </c>
      <c r="G213" t="inlineStr">
        <is>
          <t>Film-coated tablet</t>
        </is>
      </c>
      <c r="H213" t="n">
        <v>30</v>
      </c>
      <c r="I213" t="n">
        <v>144.8</v>
      </c>
      <c r="J213" s="5">
        <f>IF(H213&gt;0,I213/H213,"")</f>
        <v/>
      </c>
      <c r="K213" s="5">
        <f>IF(J213="","",J213/Inputs!$B$1)</f>
        <v/>
      </c>
      <c r="L213" t="inlineStr">
        <is>
          <t>Generic or other</t>
        </is>
      </c>
      <c r="M213" t="inlineStr">
        <is>
          <t>Eva pharma for Industry</t>
        </is>
      </c>
      <c r="N213" t="inlineStr">
        <is>
          <t>Eva pharma for Industry</t>
        </is>
      </c>
      <c r="O213" t="inlineStr">
        <is>
          <t>2307257811</t>
        </is>
      </c>
    </row>
    <row r="214">
      <c r="A214" t="inlineStr">
        <is>
          <t>A10BK</t>
        </is>
      </c>
      <c r="B214" t="inlineStr">
        <is>
          <t>SGLT2 inhibitors</t>
        </is>
      </c>
      <c r="C214" t="inlineStr">
        <is>
          <t>DAPAGLIFLOZIN</t>
        </is>
      </c>
      <c r="D214" t="inlineStr">
        <is>
          <t>Dapagliflozin Evapharma</t>
        </is>
      </c>
      <c r="E214" t="inlineStr">
        <is>
          <t>5</t>
        </is>
      </c>
      <c r="F214" t="inlineStr">
        <is>
          <t>mg</t>
        </is>
      </c>
      <c r="G214" t="inlineStr">
        <is>
          <t>Film-coated tablet</t>
        </is>
      </c>
      <c r="H214" t="n">
        <v>30</v>
      </c>
      <c r="I214" t="n">
        <v>144.8</v>
      </c>
      <c r="J214" s="5">
        <f>IF(H214&gt;0,I214/H214,"")</f>
        <v/>
      </c>
      <c r="K214" s="5">
        <f>IF(J214="","",J214/Inputs!$B$1)</f>
        <v/>
      </c>
      <c r="L214" t="inlineStr">
        <is>
          <t>Generic or other</t>
        </is>
      </c>
      <c r="M214" t="inlineStr">
        <is>
          <t>Eva pharma for Industry</t>
        </is>
      </c>
      <c r="N214" t="inlineStr">
        <is>
          <t>Eva pharma for Industry</t>
        </is>
      </c>
      <c r="O214" t="inlineStr">
        <is>
          <t>2307257812</t>
        </is>
      </c>
    </row>
    <row r="215">
      <c r="A215" t="inlineStr">
        <is>
          <t>A10BK</t>
        </is>
      </c>
      <c r="B215" t="inlineStr">
        <is>
          <t>SGLT2 inhibitors</t>
        </is>
      </c>
      <c r="C215" t="inlineStr">
        <is>
          <t>DAPAGLIFLOZIN</t>
        </is>
      </c>
      <c r="D215" t="inlineStr">
        <is>
          <t>Dezeroga</t>
        </is>
      </c>
      <c r="E215" t="inlineStr">
        <is>
          <t>10</t>
        </is>
      </c>
      <c r="F215" t="inlineStr">
        <is>
          <t>mg</t>
        </is>
      </c>
      <c r="G215" t="inlineStr">
        <is>
          <t>Film-coated tablet</t>
        </is>
      </c>
      <c r="H215" t="n">
        <v>28</v>
      </c>
      <c r="I215" t="n">
        <v>135.15</v>
      </c>
      <c r="J215" s="5">
        <f>IF(H215&gt;0,I215/H215,"")</f>
        <v/>
      </c>
      <c r="K215" s="5">
        <f>IF(J215="","",J215/Inputs!$B$1)</f>
        <v/>
      </c>
      <c r="L215" t="inlineStr">
        <is>
          <t>Generic or other</t>
        </is>
      </c>
      <c r="M215" t="inlineStr">
        <is>
          <t>Med City Pharma</t>
        </is>
      </c>
      <c r="N215" t="inlineStr">
        <is>
          <t>ZIMMO TRADING ESTABLISHMENTMed city</t>
        </is>
      </c>
      <c r="O215" t="inlineStr">
        <is>
          <t>0108233947</t>
        </is>
      </c>
    </row>
    <row r="216">
      <c r="A216" t="inlineStr">
        <is>
          <t>A10BK</t>
        </is>
      </c>
      <c r="B216" t="inlineStr">
        <is>
          <t>SGLT2 inhibitors</t>
        </is>
      </c>
      <c r="C216" t="inlineStr">
        <is>
          <t>DAPAGLIFLOZIN</t>
        </is>
      </c>
      <c r="D216" t="inlineStr">
        <is>
          <t>Dapazin</t>
        </is>
      </c>
      <c r="E216" t="inlineStr">
        <is>
          <t>5</t>
        </is>
      </c>
      <c r="F216" t="inlineStr">
        <is>
          <t>mg</t>
        </is>
      </c>
      <c r="G216" t="inlineStr">
        <is>
          <t>Film-coated tablet</t>
        </is>
      </c>
      <c r="H216" t="n">
        <v>30</v>
      </c>
      <c r="I216" t="n">
        <v>153.1</v>
      </c>
      <c r="J216" s="5">
        <f>IF(H216&gt;0,I216/H216,"")</f>
        <v/>
      </c>
      <c r="K216" s="5">
        <f>IF(J216="","",J216/Inputs!$B$1)</f>
        <v/>
      </c>
      <c r="L216" t="inlineStr">
        <is>
          <t>Generic or other</t>
        </is>
      </c>
      <c r="M216" t="inlineStr">
        <is>
          <t>Jamjoom Pharmaceuticals Factory Company</t>
        </is>
      </c>
      <c r="N216" t="inlineStr">
        <is>
          <t>JAMJOOM PHARMACEUTICALS CO. LTD.Abdullatif Mohammed Salah Jamjoom &amp; Bros Co</t>
        </is>
      </c>
      <c r="O216" t="inlineStr">
        <is>
          <t>0806222159</t>
        </is>
      </c>
    </row>
    <row r="217">
      <c r="A217" t="inlineStr">
        <is>
          <t>A10BK</t>
        </is>
      </c>
      <c r="B217" t="inlineStr">
        <is>
          <t>SGLT2 inhibitors</t>
        </is>
      </c>
      <c r="C217" t="inlineStr">
        <is>
          <t>DAPAGLIFLOZIN</t>
        </is>
      </c>
      <c r="D217" t="inlineStr">
        <is>
          <t>Dapazin</t>
        </is>
      </c>
      <c r="E217" t="inlineStr">
        <is>
          <t>10</t>
        </is>
      </c>
      <c r="F217" t="inlineStr">
        <is>
          <t>mg</t>
        </is>
      </c>
      <c r="G217" t="inlineStr">
        <is>
          <t>Film-coated tablet</t>
        </is>
      </c>
      <c r="H217" t="n">
        <v>30</v>
      </c>
      <c r="I217" t="n">
        <v>153.1</v>
      </c>
      <c r="J217" s="5">
        <f>IF(H217&gt;0,I217/H217,"")</f>
        <v/>
      </c>
      <c r="K217" s="5">
        <f>IF(J217="","",J217/Inputs!$B$1)</f>
        <v/>
      </c>
      <c r="L217" t="inlineStr">
        <is>
          <t>Generic or other</t>
        </is>
      </c>
      <c r="M217" t="inlineStr">
        <is>
          <t>Jamjoom Pharmaceuticals Factory Company</t>
        </is>
      </c>
      <c r="N217" t="inlineStr">
        <is>
          <t>JAMJOOM PHARMACEUTICALS CO. LTD.Abdullatif Mohammed Salah Jamjoom &amp; Bros Co</t>
        </is>
      </c>
      <c r="O217" t="inlineStr">
        <is>
          <t>0806222160</t>
        </is>
      </c>
    </row>
    <row r="218">
      <c r="A218" t="inlineStr">
        <is>
          <t>A10BK</t>
        </is>
      </c>
      <c r="B218" t="inlineStr">
        <is>
          <t>SGLT2 inhibitors</t>
        </is>
      </c>
      <c r="C218" t="inlineStr">
        <is>
          <t>EMPAGLIFLOZIN</t>
        </is>
      </c>
      <c r="D218" t="inlineStr">
        <is>
          <t>Empamac Met</t>
        </is>
      </c>
      <c r="E218" t="inlineStr">
        <is>
          <t>12.5,1000</t>
        </is>
      </c>
      <c r="F218" t="inlineStr">
        <is>
          <t>mg</t>
        </is>
      </c>
      <c r="G218" t="inlineStr">
        <is>
          <t>Tablet</t>
        </is>
      </c>
      <c r="H218" t="n">
        <v>30</v>
      </c>
      <c r="I218" t="n">
        <v>60.5</v>
      </c>
      <c r="J218" s="5">
        <f>IF(H218&gt;0,I218/H218,"")</f>
        <v/>
      </c>
      <c r="K218" s="5">
        <f>IF(J218="","",J218/Inputs!$B$1)</f>
        <v/>
      </c>
      <c r="L218" t="inlineStr">
        <is>
          <t>Generic or other</t>
        </is>
      </c>
      <c r="M218" t="inlineStr">
        <is>
          <t>Pharma Pharmaceutical Industries &amp; Biological Products (PPI)</t>
        </is>
      </c>
      <c r="N218" t="inlineStr">
        <is>
          <t>Pharma Pharmaceutical Industries (PPI)</t>
        </is>
      </c>
      <c r="O218" t="inlineStr">
        <is>
          <t>2805257482</t>
        </is>
      </c>
    </row>
    <row r="219">
      <c r="A219" t="inlineStr">
        <is>
          <t>A10BK</t>
        </is>
      </c>
      <c r="B219" t="inlineStr">
        <is>
          <t>SGLT2 inhibitors</t>
        </is>
      </c>
      <c r="C219" t="inlineStr">
        <is>
          <t>EMPAGLIFLOZIN</t>
        </is>
      </c>
      <c r="D219" t="inlineStr">
        <is>
          <t>EMBA</t>
        </is>
      </c>
      <c r="E219" t="inlineStr">
        <is>
          <t>25</t>
        </is>
      </c>
      <c r="F219" t="inlineStr">
        <is>
          <t>mg</t>
        </is>
      </c>
      <c r="G219" t="inlineStr">
        <is>
          <t>Film-coated tablet</t>
        </is>
      </c>
      <c r="H219" t="n">
        <v>30</v>
      </c>
      <c r="I219" t="n">
        <v>128.4</v>
      </c>
      <c r="J219" s="5">
        <f>IF(H219&gt;0,I219/H219,"")</f>
        <v/>
      </c>
      <c r="K219" s="5">
        <f>IF(J219="","",J219/Inputs!$B$1)</f>
        <v/>
      </c>
      <c r="L219" t="inlineStr">
        <is>
          <t>Generic or other</t>
        </is>
      </c>
      <c r="M219" t="inlineStr">
        <is>
          <t>Saudi Amarox</t>
        </is>
      </c>
      <c r="N219" t="inlineStr">
        <is>
          <t>Saudi Amarox</t>
        </is>
      </c>
      <c r="O219" t="inlineStr">
        <is>
          <t>0207257667</t>
        </is>
      </c>
    </row>
    <row r="220">
      <c r="A220" t="inlineStr">
        <is>
          <t>A10BK</t>
        </is>
      </c>
      <c r="B220" t="inlineStr">
        <is>
          <t>SGLT2 inhibitors</t>
        </is>
      </c>
      <c r="C220" t="inlineStr">
        <is>
          <t>EMPAGLIFLOZIN</t>
        </is>
      </c>
      <c r="D220" t="inlineStr">
        <is>
          <t>EMBA</t>
        </is>
      </c>
      <c r="E220" t="inlineStr">
        <is>
          <t>10</t>
        </is>
      </c>
      <c r="F220" t="inlineStr">
        <is>
          <t>mg</t>
        </is>
      </c>
      <c r="G220" t="inlineStr">
        <is>
          <t>Film-coated tablet</t>
        </is>
      </c>
      <c r="H220" t="n">
        <v>30</v>
      </c>
      <c r="I220" t="n">
        <v>128.4</v>
      </c>
      <c r="J220" s="5">
        <f>IF(H220&gt;0,I220/H220,"")</f>
        <v/>
      </c>
      <c r="K220" s="5">
        <f>IF(J220="","",J220/Inputs!$B$1)</f>
        <v/>
      </c>
      <c r="L220" t="inlineStr">
        <is>
          <t>Generic or other</t>
        </is>
      </c>
      <c r="M220" t="inlineStr">
        <is>
          <t>Saudi Amarox</t>
        </is>
      </c>
      <c r="N220" t="inlineStr">
        <is>
          <t>Saudi Amarox</t>
        </is>
      </c>
      <c r="O220" t="inlineStr">
        <is>
          <t>0207257657</t>
        </is>
      </c>
    </row>
    <row r="221">
      <c r="A221" t="inlineStr">
        <is>
          <t>A10BK</t>
        </is>
      </c>
      <c r="B221" t="inlineStr">
        <is>
          <t>SGLT2 inhibitors</t>
        </is>
      </c>
      <c r="C221" t="inlineStr">
        <is>
          <t>EMPAGLIFLOZIN</t>
        </is>
      </c>
      <c r="D221" t="inlineStr">
        <is>
          <t>Empamac</t>
        </is>
      </c>
      <c r="E221" t="inlineStr">
        <is>
          <t>25</t>
        </is>
      </c>
      <c r="F221" t="inlineStr">
        <is>
          <t>mg</t>
        </is>
      </c>
      <c r="G221" t="inlineStr">
        <is>
          <t>Film-coated tablet</t>
        </is>
      </c>
      <c r="H221" t="n">
        <v>30</v>
      </c>
      <c r="I221" t="n">
        <v>128.4</v>
      </c>
      <c r="J221" s="5">
        <f>IF(H221&gt;0,I221/H221,"")</f>
        <v/>
      </c>
      <c r="K221" s="5">
        <f>IF(J221="","",J221/Inputs!$B$1)</f>
        <v/>
      </c>
      <c r="L221" t="inlineStr">
        <is>
          <t>Generic or other</t>
        </is>
      </c>
      <c r="M221" t="inlineStr">
        <is>
          <t>Pharma Pharmaceutical Industries (PPI)</t>
        </is>
      </c>
      <c r="N221" t="inlineStr">
        <is>
          <t>Pharma Pharmaceutical Industries (PPI)</t>
        </is>
      </c>
      <c r="O221" t="inlineStr">
        <is>
          <t>0210258309</t>
        </is>
      </c>
    </row>
    <row r="222">
      <c r="A222" t="inlineStr">
        <is>
          <t>A10BK</t>
        </is>
      </c>
      <c r="B222" t="inlineStr">
        <is>
          <t>SGLT2 inhibitors</t>
        </is>
      </c>
      <c r="C222" t="inlineStr">
        <is>
          <t>EMPAGLIFLOZIN</t>
        </is>
      </c>
      <c r="D222" t="inlineStr">
        <is>
          <t>Empamac</t>
        </is>
      </c>
      <c r="E222" t="inlineStr">
        <is>
          <t>10</t>
        </is>
      </c>
      <c r="F222" t="inlineStr">
        <is>
          <t>mg</t>
        </is>
      </c>
      <c r="G222" t="inlineStr">
        <is>
          <t>Film-coated tablet</t>
        </is>
      </c>
      <c r="H222" t="n">
        <v>30</v>
      </c>
      <c r="I222" t="n">
        <v>128.4</v>
      </c>
      <c r="J222" s="5">
        <f>IF(H222&gt;0,I222/H222,"")</f>
        <v/>
      </c>
      <c r="K222" s="5">
        <f>IF(J222="","",J222/Inputs!$B$1)</f>
        <v/>
      </c>
      <c r="L222" t="inlineStr">
        <is>
          <t>Generic or other</t>
        </is>
      </c>
      <c r="M222" t="inlineStr">
        <is>
          <t>Pharma Pharmaceutical Industries (PPI)</t>
        </is>
      </c>
      <c r="N222" t="inlineStr">
        <is>
          <t>Pharma Pharmaceutical Industries (PPI)</t>
        </is>
      </c>
      <c r="O222" t="inlineStr">
        <is>
          <t>0210258306</t>
        </is>
      </c>
    </row>
    <row r="223">
      <c r="A223" t="inlineStr">
        <is>
          <t>A10BK</t>
        </is>
      </c>
      <c r="B223" t="inlineStr">
        <is>
          <t>SGLT2 inhibitors</t>
        </is>
      </c>
      <c r="C223" t="inlineStr">
        <is>
          <t>EMPAGLIFLOZIN</t>
        </is>
      </c>
      <c r="D223" t="inlineStr">
        <is>
          <t>Gutirek</t>
        </is>
      </c>
      <c r="E223" t="inlineStr">
        <is>
          <t>10</t>
        </is>
      </c>
      <c r="F223" t="inlineStr">
        <is>
          <t>mg</t>
        </is>
      </c>
      <c r="G223" t="inlineStr">
        <is>
          <t>Film-coated tablet</t>
        </is>
      </c>
      <c r="H223" t="n">
        <v>30</v>
      </c>
      <c r="I223" t="n">
        <v>128.4</v>
      </c>
      <c r="J223" s="5">
        <f>IF(H223&gt;0,I223/H223,"")</f>
        <v/>
      </c>
      <c r="K223" s="5">
        <f>IF(J223="","",J223/Inputs!$B$1)</f>
        <v/>
      </c>
      <c r="L223" t="inlineStr">
        <is>
          <t>Generic or other</t>
        </is>
      </c>
      <c r="M223" t="inlineStr">
        <is>
          <t>Eva pharma for Industry</t>
        </is>
      </c>
      <c r="N223" t="inlineStr">
        <is>
          <t>Eva pharma for Industry</t>
        </is>
      </c>
      <c r="O223" t="inlineStr">
        <is>
          <t>2306269964</t>
        </is>
      </c>
    </row>
    <row r="224">
      <c r="A224" t="inlineStr">
        <is>
          <t>A10BK</t>
        </is>
      </c>
      <c r="B224" t="inlineStr">
        <is>
          <t>SGLT2 inhibitors</t>
        </is>
      </c>
      <c r="C224" t="inlineStr">
        <is>
          <t>EMPAGLIFLOZIN</t>
        </is>
      </c>
      <c r="D224" t="inlineStr">
        <is>
          <t>Gutirek</t>
        </is>
      </c>
      <c r="E224" t="inlineStr">
        <is>
          <t>25</t>
        </is>
      </c>
      <c r="F224" t="inlineStr">
        <is>
          <t>mg</t>
        </is>
      </c>
      <c r="G224" t="inlineStr">
        <is>
          <t>Film-coated tablet</t>
        </is>
      </c>
      <c r="H224" t="n">
        <v>30</v>
      </c>
      <c r="I224" t="n">
        <v>128.4</v>
      </c>
      <c r="J224" s="5">
        <f>IF(H224&gt;0,I224/H224,"")</f>
        <v/>
      </c>
      <c r="K224" s="5">
        <f>IF(J224="","",J224/Inputs!$B$1)</f>
        <v/>
      </c>
      <c r="L224" t="inlineStr">
        <is>
          <t>Generic or other</t>
        </is>
      </c>
      <c r="M224" t="inlineStr">
        <is>
          <t>Eva pharma for Industry</t>
        </is>
      </c>
      <c r="N224" t="inlineStr">
        <is>
          <t>Eva pharma for Industry</t>
        </is>
      </c>
      <c r="O224" t="inlineStr">
        <is>
          <t>2306269966</t>
        </is>
      </c>
    </row>
    <row r="225">
      <c r="A225" t="inlineStr">
        <is>
          <t>A10BK</t>
        </is>
      </c>
      <c r="B225" t="inlineStr">
        <is>
          <t>SGLT2 inhibitors</t>
        </is>
      </c>
      <c r="C225" t="inlineStr">
        <is>
          <t>EMPAGLIFLOZIN</t>
        </is>
      </c>
      <c r="D225" t="inlineStr">
        <is>
          <t>Monzeva</t>
        </is>
      </c>
      <c r="E225" t="inlineStr">
        <is>
          <t>25</t>
        </is>
      </c>
      <c r="F225" t="inlineStr">
        <is>
          <t>mg</t>
        </is>
      </c>
      <c r="G225" t="inlineStr">
        <is>
          <t>Film-coated tablet</t>
        </is>
      </c>
      <c r="H225" t="n">
        <v>30</v>
      </c>
      <c r="I225" t="n">
        <v>135.15</v>
      </c>
      <c r="J225" s="5">
        <f>IF(H225&gt;0,I225/H225,"")</f>
        <v/>
      </c>
      <c r="K225" s="5">
        <f>IF(J225="","",J225/Inputs!$B$1)</f>
        <v/>
      </c>
      <c r="L225" t="inlineStr">
        <is>
          <t>Generic or other</t>
        </is>
      </c>
      <c r="M225" t="inlineStr">
        <is>
          <t>SUDAIR PHARMA COMPANY</t>
        </is>
      </c>
      <c r="N225" t="inlineStr">
        <is>
          <t>SUDAIR PHARMA COMPANY</t>
        </is>
      </c>
      <c r="O225" t="inlineStr">
        <is>
          <t>1308245763</t>
        </is>
      </c>
    </row>
    <row r="226">
      <c r="A226" t="inlineStr">
        <is>
          <t>A10BK</t>
        </is>
      </c>
      <c r="B226" t="inlineStr">
        <is>
          <t>SGLT2 inhibitors</t>
        </is>
      </c>
      <c r="C226" t="inlineStr">
        <is>
          <t>EMPAGLIFLOZIN</t>
        </is>
      </c>
      <c r="D226" t="inlineStr">
        <is>
          <t>Monzeva</t>
        </is>
      </c>
      <c r="E226" t="inlineStr">
        <is>
          <t>10</t>
        </is>
      </c>
      <c r="F226" t="inlineStr">
        <is>
          <t>mg</t>
        </is>
      </c>
      <c r="G226" t="inlineStr">
        <is>
          <t>Film-coated tablet</t>
        </is>
      </c>
      <c r="H226" t="n">
        <v>30</v>
      </c>
      <c r="I226" t="n">
        <v>135.15</v>
      </c>
      <c r="J226" s="5">
        <f>IF(H226&gt;0,I226/H226,"")</f>
        <v/>
      </c>
      <c r="K226" s="5">
        <f>IF(J226="","",J226/Inputs!$B$1)</f>
        <v/>
      </c>
      <c r="L226" t="inlineStr">
        <is>
          <t>Generic or other</t>
        </is>
      </c>
      <c r="M226" t="inlineStr">
        <is>
          <t>SUDAIR PHARMA COMPANY</t>
        </is>
      </c>
      <c r="N226" t="inlineStr">
        <is>
          <t>SUDAIR PHARMA COMPANY</t>
        </is>
      </c>
      <c r="O226" t="inlineStr">
        <is>
          <t>1308245764</t>
        </is>
      </c>
    </row>
    <row r="227">
      <c r="A227" t="inlineStr">
        <is>
          <t>A10BX</t>
        </is>
      </c>
      <c r="B227" t="inlineStr"/>
      <c r="C227" t="inlineStr">
        <is>
          <t>DAPAGLIFLOZIN</t>
        </is>
      </c>
      <c r="D227" t="inlineStr">
        <is>
          <t>DIVINUS 5 mg film-coated tablet</t>
        </is>
      </c>
      <c r="E227" t="inlineStr">
        <is>
          <t>5</t>
        </is>
      </c>
      <c r="F227" t="inlineStr">
        <is>
          <t>mg</t>
        </is>
      </c>
      <c r="G227" t="inlineStr">
        <is>
          <t>Film-coated tablet</t>
        </is>
      </c>
      <c r="H227" t="n">
        <v>30</v>
      </c>
      <c r="I227" t="n">
        <v>151</v>
      </c>
      <c r="J227" s="5">
        <f>IF(H227&gt;0,I227/H227,"")</f>
        <v/>
      </c>
      <c r="K227" s="5">
        <f>IF(J227="","",J227/Inputs!$B$1)</f>
        <v/>
      </c>
      <c r="L227" t="inlineStr">
        <is>
          <t>Generic or other</t>
        </is>
      </c>
      <c r="M227" t="inlineStr">
        <is>
          <t>Jazeera Pharmaceutical Industries (JPI)</t>
        </is>
      </c>
      <c r="N227" t="inlineStr">
        <is>
          <t>Jazeera Pharmaceutical Industries (JPI)</t>
        </is>
      </c>
      <c r="O227" t="inlineStr">
        <is>
          <t>2511246336</t>
        </is>
      </c>
    </row>
    <row r="228">
      <c r="A228" t="inlineStr">
        <is>
          <t>A10BX</t>
        </is>
      </c>
      <c r="B228" t="inlineStr"/>
      <c r="C228" t="inlineStr">
        <is>
          <t>DAPAGLIFLOZIN</t>
        </is>
      </c>
      <c r="D228" t="inlineStr">
        <is>
          <t>DIVINUS 10 mg film-coated tablet</t>
        </is>
      </c>
      <c r="E228" t="inlineStr">
        <is>
          <t>10</t>
        </is>
      </c>
      <c r="F228" t="inlineStr">
        <is>
          <t>mg</t>
        </is>
      </c>
      <c r="G228" t="inlineStr">
        <is>
          <t>Film-coated tablet</t>
        </is>
      </c>
      <c r="H228" t="n">
        <v>30</v>
      </c>
      <c r="I228" t="n">
        <v>151</v>
      </c>
      <c r="J228" s="5">
        <f>IF(H228&gt;0,I228/H228,"")</f>
        <v/>
      </c>
      <c r="K228" s="5">
        <f>IF(J228="","",J228/Inputs!$B$1)</f>
        <v/>
      </c>
      <c r="L228" t="inlineStr">
        <is>
          <t>Generic or other</t>
        </is>
      </c>
      <c r="M228" t="inlineStr">
        <is>
          <t>Jazeera Pharmaceutical Industries (JPI)</t>
        </is>
      </c>
      <c r="N228" t="inlineStr">
        <is>
          <t>Jazeera Pharmaceutical Industries (JPI)</t>
        </is>
      </c>
      <c r="O228" t="inlineStr">
        <is>
          <t>1911246258</t>
        </is>
      </c>
    </row>
    <row r="229">
      <c r="A229" t="inlineStr">
        <is>
          <t>A10BX</t>
        </is>
      </c>
      <c r="B229" t="inlineStr"/>
      <c r="C229" t="inlineStr">
        <is>
          <t>EMPAGLIFLOZIN</t>
        </is>
      </c>
      <c r="D229" t="inlineStr">
        <is>
          <t>JARDIANCE 10 mg film-coated tablet</t>
        </is>
      </c>
      <c r="E229" t="inlineStr">
        <is>
          <t>10</t>
        </is>
      </c>
      <c r="F229" t="inlineStr">
        <is>
          <t>mg</t>
        </is>
      </c>
      <c r="G229" t="inlineStr">
        <is>
          <t>Film-coated tablet</t>
        </is>
      </c>
      <c r="H229" t="n">
        <v>30</v>
      </c>
      <c r="I229" t="n">
        <v>159</v>
      </c>
      <c r="J229" s="5">
        <f>IF(H229&gt;0,I229/H229,"")</f>
        <v/>
      </c>
      <c r="K229" s="5">
        <f>IF(J229="","",J229/Inputs!$B$1)</f>
        <v/>
      </c>
      <c r="L229" t="inlineStr">
        <is>
          <t>Originator</t>
        </is>
      </c>
      <c r="M229" t="inlineStr">
        <is>
          <t>BOEHRINGER INGELHEIM</t>
        </is>
      </c>
      <c r="N229" t="inlineStr">
        <is>
          <t>Cigalah Group</t>
        </is>
      </c>
      <c r="O229" t="inlineStr">
        <is>
          <t>2810211247</t>
        </is>
      </c>
    </row>
    <row r="230">
      <c r="A230" t="inlineStr">
        <is>
          <t>A10BX</t>
        </is>
      </c>
      <c r="B230" t="inlineStr"/>
      <c r="C230" t="inlineStr">
        <is>
          <t>EMPAGLIFLOZIN</t>
        </is>
      </c>
      <c r="D230" t="inlineStr">
        <is>
          <t>JARDIANCE 25 mg film-coated tablet</t>
        </is>
      </c>
      <c r="E230" t="inlineStr">
        <is>
          <t>25</t>
        </is>
      </c>
      <c r="F230" t="inlineStr">
        <is>
          <t>mg</t>
        </is>
      </c>
      <c r="G230" t="inlineStr">
        <is>
          <t>Film-coated tablet</t>
        </is>
      </c>
      <c r="H230" t="n">
        <v>30</v>
      </c>
      <c r="I230" t="n">
        <v>159</v>
      </c>
      <c r="J230" s="5">
        <f>IF(H230&gt;0,I230/H230,"")</f>
        <v/>
      </c>
      <c r="K230" s="5">
        <f>IF(J230="","",J230/Inputs!$B$1)</f>
        <v/>
      </c>
      <c r="L230" t="inlineStr">
        <is>
          <t>Originator</t>
        </is>
      </c>
      <c r="M230" t="inlineStr">
        <is>
          <t>BOEHRINGER INGELHEIM</t>
        </is>
      </c>
      <c r="N230" t="inlineStr">
        <is>
          <t>Cigalah Group</t>
        </is>
      </c>
      <c r="O230" t="inlineStr">
        <is>
          <t>2810211246</t>
        </is>
      </c>
    </row>
    <row r="231">
      <c r="A231" t="inlineStr">
        <is>
          <t>B05CB</t>
        </is>
      </c>
      <c r="B231" t="inlineStr"/>
      <c r="C231" t="inlineStr">
        <is>
          <t>DAPAGLIFLOZIN</t>
        </is>
      </c>
      <c r="D231" t="inlineStr">
        <is>
          <t>FORXIGA 10 mg film-coated tablet</t>
        </is>
      </c>
      <c r="E231" t="inlineStr">
        <is>
          <t>10</t>
        </is>
      </c>
      <c r="F231" t="inlineStr">
        <is>
          <t>%</t>
        </is>
      </c>
      <c r="G231" t="inlineStr">
        <is>
          <t>Solution for injection</t>
        </is>
      </c>
      <c r="H231" t="n">
        <v>1</v>
      </c>
      <c r="I231" t="n">
        <v>159</v>
      </c>
      <c r="J231" s="5">
        <f>IF(H231&gt;0,I231/H231,"")</f>
        <v/>
      </c>
      <c r="K231" s="5">
        <f>IF(J231="","",J231/Inputs!$B$1)</f>
        <v/>
      </c>
      <c r="L231" t="inlineStr">
        <is>
          <t>Originator</t>
        </is>
      </c>
      <c r="M231" t="inlineStr">
        <is>
          <t>Pharmaceutical Solution Industries (PSI)</t>
        </is>
      </c>
      <c r="N231" t="inlineStr">
        <is>
          <t>Pharmaceutical Solution Industries (PSI)</t>
        </is>
      </c>
      <c r="O231" t="inlineStr">
        <is>
          <t>1807245616</t>
        </is>
      </c>
    </row>
    <row r="232">
      <c r="A232" t="inlineStr">
        <is>
          <t>B05CB</t>
        </is>
      </c>
      <c r="B232" t="inlineStr"/>
      <c r="C232" t="inlineStr">
        <is>
          <t>DAPAGLIFLOZIN</t>
        </is>
      </c>
      <c r="D232" t="inlineStr">
        <is>
          <t>FORXIGA 5 mg film-coated tablet</t>
        </is>
      </c>
      <c r="E232" t="inlineStr">
        <is>
          <t>5</t>
        </is>
      </c>
      <c r="F232" t="inlineStr">
        <is>
          <t>%</t>
        </is>
      </c>
      <c r="G232" t="inlineStr">
        <is>
          <t>Solution for injection</t>
        </is>
      </c>
      <c r="H232" t="n">
        <v>1</v>
      </c>
      <c r="I232" t="n">
        <v>159</v>
      </c>
      <c r="J232" s="5">
        <f>IF(H232&gt;0,I232/H232,"")</f>
        <v/>
      </c>
      <c r="K232" s="5">
        <f>IF(J232="","",J232/Inputs!$B$1)</f>
        <v/>
      </c>
      <c r="L232" t="inlineStr">
        <is>
          <t>Originator</t>
        </is>
      </c>
      <c r="M232" t="inlineStr">
        <is>
          <t>Pharmaceutical Solution Industries (PSI)</t>
        </is>
      </c>
      <c r="N232" t="inlineStr">
        <is>
          <t>Pharmaceutical Solution Industries (PSI)</t>
        </is>
      </c>
      <c r="O232" t="inlineStr">
        <is>
          <t>1807245616</t>
        </is>
      </c>
    </row>
    <row r="233">
      <c r="A233" t="inlineStr">
        <is>
          <t>B05CB</t>
        </is>
      </c>
      <c r="B233" t="inlineStr"/>
      <c r="C233" t="inlineStr">
        <is>
          <t>NIVOLUMAB</t>
        </is>
      </c>
      <c r="D233" t="inlineStr">
        <is>
          <t>OPDIVO 10 mg/ml solution for injection</t>
        </is>
      </c>
      <c r="E233" t="inlineStr">
        <is>
          <t>10</t>
        </is>
      </c>
      <c r="F233" t="inlineStr">
        <is>
          <t>%</t>
        </is>
      </c>
      <c r="G233" t="inlineStr">
        <is>
          <t>Solution for injection</t>
        </is>
      </c>
      <c r="H233" t="n">
        <v>1</v>
      </c>
      <c r="I233" t="n">
        <v>3385.15</v>
      </c>
      <c r="J233" s="5">
        <f>IF(H233&gt;0,I233/H233,"")</f>
        <v/>
      </c>
      <c r="K233" s="5">
        <f>IF(J233="","",J233/Inputs!$B$1)</f>
        <v/>
      </c>
      <c r="L233" t="inlineStr">
        <is>
          <t>Originator</t>
        </is>
      </c>
      <c r="M233" t="inlineStr">
        <is>
          <t>Pharmaceutical Solution Industries (PSI)</t>
        </is>
      </c>
      <c r="N233" t="inlineStr">
        <is>
          <t>Pharmaceutical Solution Industries (PSI)</t>
        </is>
      </c>
      <c r="O233" t="inlineStr">
        <is>
          <t>1807245616</t>
        </is>
      </c>
    </row>
    <row r="234">
      <c r="A234" t="inlineStr">
        <is>
          <t>C01EB</t>
        </is>
      </c>
      <c r="B234" t="inlineStr"/>
      <c r="C234" t="inlineStr">
        <is>
          <t>VERICIGUAT</t>
        </is>
      </c>
      <c r="D234" t="inlineStr">
        <is>
          <t>Verquvo</t>
        </is>
      </c>
      <c r="E234" t="inlineStr">
        <is>
          <t>10</t>
        </is>
      </c>
      <c r="F234" t="inlineStr">
        <is>
          <t>mg</t>
        </is>
      </c>
      <c r="G234" t="inlineStr">
        <is>
          <t>Film-coated tablet</t>
        </is>
      </c>
      <c r="H234" t="n">
        <v>28</v>
      </c>
      <c r="I234" t="n">
        <v>422.45</v>
      </c>
      <c r="J234" s="5">
        <f>IF(H234&gt;0,I234/H234,"")</f>
        <v/>
      </c>
      <c r="K234" s="5">
        <f>IF(J234="","",J234/Inputs!$B$1)</f>
        <v/>
      </c>
      <c r="L234" t="inlineStr">
        <is>
          <t>Originator</t>
        </is>
      </c>
      <c r="M234" t="inlineStr">
        <is>
          <t>BAYER AG</t>
        </is>
      </c>
      <c r="N234" t="inlineStr">
        <is>
          <t>Bayer Saudi Arabia</t>
        </is>
      </c>
      <c r="O234" t="inlineStr">
        <is>
          <t>2403221886</t>
        </is>
      </c>
    </row>
    <row r="235">
      <c r="A235" t="inlineStr">
        <is>
          <t>C01EB</t>
        </is>
      </c>
      <c r="B235" t="inlineStr"/>
      <c r="C235" t="inlineStr">
        <is>
          <t>VERICIGUAT</t>
        </is>
      </c>
      <c r="D235" t="inlineStr">
        <is>
          <t>Verquvo</t>
        </is>
      </c>
      <c r="E235" t="inlineStr">
        <is>
          <t>2.5</t>
        </is>
      </c>
      <c r="F235" t="inlineStr">
        <is>
          <t>mg</t>
        </is>
      </c>
      <c r="G235" t="inlineStr">
        <is>
          <t>Film-coated tablet</t>
        </is>
      </c>
      <c r="H235" t="n">
        <v>14</v>
      </c>
      <c r="I235" t="n">
        <v>220.8</v>
      </c>
      <c r="J235" s="5">
        <f>IF(H235&gt;0,I235/H235,"")</f>
        <v/>
      </c>
      <c r="K235" s="5">
        <f>IF(J235="","",J235/Inputs!$B$1)</f>
        <v/>
      </c>
      <c r="L235" t="inlineStr">
        <is>
          <t>Originator</t>
        </is>
      </c>
      <c r="M235" t="inlineStr">
        <is>
          <t>BAYER AG</t>
        </is>
      </c>
      <c r="N235" t="inlineStr">
        <is>
          <t>Bayer Saudi Arabia</t>
        </is>
      </c>
      <c r="O235" t="inlineStr">
        <is>
          <t>2403221885</t>
        </is>
      </c>
    </row>
    <row r="236">
      <c r="A236" t="inlineStr">
        <is>
          <t>C01EB</t>
        </is>
      </c>
      <c r="B236" t="inlineStr"/>
      <c r="C236" t="inlineStr">
        <is>
          <t>VERICIGUAT</t>
        </is>
      </c>
      <c r="D236" t="inlineStr">
        <is>
          <t>Verquvo</t>
        </is>
      </c>
      <c r="E236" t="inlineStr">
        <is>
          <t>5</t>
        </is>
      </c>
      <c r="F236" t="inlineStr">
        <is>
          <t>mg</t>
        </is>
      </c>
      <c r="G236" t="inlineStr">
        <is>
          <t>Film-coated tablet</t>
        </is>
      </c>
      <c r="H236" t="n">
        <v>14</v>
      </c>
      <c r="I236" t="n">
        <v>220.8</v>
      </c>
      <c r="J236" s="5">
        <f>IF(H236&gt;0,I236/H236,"")</f>
        <v/>
      </c>
      <c r="K236" s="5">
        <f>IF(J236="","",J236/Inputs!$B$1)</f>
        <v/>
      </c>
      <c r="L236" t="inlineStr">
        <is>
          <t>Originator</t>
        </is>
      </c>
      <c r="M236" t="inlineStr">
        <is>
          <t>BAYER AG</t>
        </is>
      </c>
      <c r="N236" t="inlineStr">
        <is>
          <t>Bayer Saudi Arabia</t>
        </is>
      </c>
      <c r="O236" t="inlineStr">
        <is>
          <t>2403221884</t>
        </is>
      </c>
    </row>
    <row r="237">
      <c r="A237" t="inlineStr">
        <is>
          <t>C02KX</t>
        </is>
      </c>
      <c r="B237" t="inlineStr">
        <is>
          <t>Pulmonary hypertension</t>
        </is>
      </c>
      <c r="C237" t="inlineStr">
        <is>
          <t>SOTATERCEPT</t>
        </is>
      </c>
      <c r="D237" t="inlineStr">
        <is>
          <t>Winrevair</t>
        </is>
      </c>
      <c r="E237" t="inlineStr">
        <is>
          <t>45</t>
        </is>
      </c>
      <c r="F237" t="inlineStr">
        <is>
          <t>mg</t>
        </is>
      </c>
      <c r="G237" t="inlineStr">
        <is>
          <t>Powder and solvent for solution for injection</t>
        </is>
      </c>
      <c r="H237" t="n">
        <v>1</v>
      </c>
      <c r="I237" t="n">
        <v>36247.2</v>
      </c>
      <c r="J237" s="5">
        <f>IF(H237&gt;0,I237/H237,"")</f>
        <v/>
      </c>
      <c r="K237" s="5">
        <f>IF(J237="","",J237/Inputs!$B$1)</f>
        <v/>
      </c>
      <c r="L237" t="inlineStr">
        <is>
          <t>MSD</t>
        </is>
      </c>
      <c r="M237" t="inlineStr">
        <is>
          <t>MERCK SHARP &amp; DOHME</t>
        </is>
      </c>
      <c r="N237" t="inlineStr">
        <is>
          <t>ALNAGHI COMPANY</t>
        </is>
      </c>
      <c r="O237" t="inlineStr">
        <is>
          <t>2104257258</t>
        </is>
      </c>
    </row>
    <row r="238">
      <c r="A238" t="inlineStr">
        <is>
          <t>C02KX</t>
        </is>
      </c>
      <c r="B238" t="inlineStr">
        <is>
          <t>Pulmonary hypertension</t>
        </is>
      </c>
      <c r="C238" t="inlineStr">
        <is>
          <t>SOTATERCEPT</t>
        </is>
      </c>
      <c r="D238" t="inlineStr">
        <is>
          <t>Winrevair</t>
        </is>
      </c>
      <c r="E238" t="inlineStr">
        <is>
          <t>45</t>
        </is>
      </c>
      <c r="F238" t="inlineStr">
        <is>
          <t>mg</t>
        </is>
      </c>
      <c r="G238" t="inlineStr">
        <is>
          <t>Powder and solvent for solution for injection</t>
        </is>
      </c>
      <c r="H238" t="n">
        <v>2</v>
      </c>
      <c r="I238" t="n">
        <v>72494.39999999999</v>
      </c>
      <c r="J238" s="5">
        <f>IF(H238&gt;0,I238/H238,"")</f>
        <v/>
      </c>
      <c r="K238" s="5">
        <f>IF(J238="","",J238/Inputs!$B$1)</f>
        <v/>
      </c>
      <c r="L238" t="inlineStr">
        <is>
          <t>MSD</t>
        </is>
      </c>
      <c r="M238" t="inlineStr">
        <is>
          <t>MERCK SHARP &amp; DOHME</t>
        </is>
      </c>
      <c r="N238" t="inlineStr">
        <is>
          <t>ALNAGHI COMPANY</t>
        </is>
      </c>
      <c r="O238" t="inlineStr">
        <is>
          <t>2104257257</t>
        </is>
      </c>
    </row>
    <row r="239">
      <c r="A239" t="inlineStr">
        <is>
          <t>C02KX</t>
        </is>
      </c>
      <c r="B239" t="inlineStr">
        <is>
          <t>Pulmonary hypertension</t>
        </is>
      </c>
      <c r="C239" t="inlineStr">
        <is>
          <t>SOTATERCEPT</t>
        </is>
      </c>
      <c r="D239" t="inlineStr">
        <is>
          <t>Winrevair</t>
        </is>
      </c>
      <c r="E239" t="inlineStr">
        <is>
          <t>60</t>
        </is>
      </c>
      <c r="F239" t="inlineStr">
        <is>
          <t>mg</t>
        </is>
      </c>
      <c r="G239" t="inlineStr">
        <is>
          <t>Powder and solvent for solution for injection</t>
        </is>
      </c>
      <c r="H239" t="n">
        <v>2</v>
      </c>
      <c r="I239" t="n">
        <v>90750</v>
      </c>
      <c r="J239" s="5">
        <f>IF(H239&gt;0,I239/H239,"")</f>
        <v/>
      </c>
      <c r="K239" s="5">
        <f>IF(J239="","",J239/Inputs!$B$1)</f>
        <v/>
      </c>
      <c r="L239" t="inlineStr">
        <is>
          <t>MSD</t>
        </is>
      </c>
      <c r="M239" t="inlineStr">
        <is>
          <t>Merck Sharp &amp; Dohme B.V</t>
        </is>
      </c>
      <c r="N239" t="inlineStr">
        <is>
          <t>ALNAGHI COMPANY</t>
        </is>
      </c>
      <c r="O239" t="inlineStr">
        <is>
          <t>2108258090</t>
        </is>
      </c>
    </row>
    <row r="240">
      <c r="A240" t="inlineStr">
        <is>
          <t>C02KX</t>
        </is>
      </c>
      <c r="B240" t="inlineStr">
        <is>
          <t>Pulmonary hypertension</t>
        </is>
      </c>
      <c r="C240" t="inlineStr">
        <is>
          <t>SOTATERCEPT</t>
        </is>
      </c>
      <c r="D240" t="inlineStr">
        <is>
          <t>Winrevair</t>
        </is>
      </c>
      <c r="E240" t="inlineStr">
        <is>
          <t>60</t>
        </is>
      </c>
      <c r="F240" t="inlineStr">
        <is>
          <t>mg</t>
        </is>
      </c>
      <c r="G240" t="inlineStr">
        <is>
          <t>Powder and solvent for solution for injection</t>
        </is>
      </c>
      <c r="H240" t="n">
        <v>1</v>
      </c>
      <c r="I240" t="n">
        <v>45375</v>
      </c>
      <c r="J240" s="5">
        <f>IF(H240&gt;0,I240/H240,"")</f>
        <v/>
      </c>
      <c r="K240" s="5">
        <f>IF(J240="","",J240/Inputs!$B$1)</f>
        <v/>
      </c>
      <c r="L240" t="inlineStr">
        <is>
          <t>MSD</t>
        </is>
      </c>
      <c r="M240" t="inlineStr">
        <is>
          <t>Merck Sharp &amp; Dohme B.V</t>
        </is>
      </c>
      <c r="N240" t="inlineStr">
        <is>
          <t>ALNAGHI COMPANY</t>
        </is>
      </c>
      <c r="O240" t="inlineStr">
        <is>
          <t>2108258089</t>
        </is>
      </c>
    </row>
    <row r="241">
      <c r="A241" t="inlineStr">
        <is>
          <t>J01DD</t>
        </is>
      </c>
      <c r="B241" t="inlineStr"/>
      <c r="C241" t="inlineStr">
        <is>
          <t>AVIBACTAM</t>
        </is>
      </c>
      <c r="D241" t="inlineStr">
        <is>
          <t>Zidav</t>
        </is>
      </c>
      <c r="E241" t="inlineStr">
        <is>
          <t>2,0.5</t>
        </is>
      </c>
      <c r="F241" t="inlineStr">
        <is>
          <t>g</t>
        </is>
      </c>
      <c r="G241" t="inlineStr">
        <is>
          <t>Powder for concentrate for solution for infusion</t>
        </is>
      </c>
      <c r="H241" t="n">
        <v>10</v>
      </c>
      <c r="I241" t="n">
        <v>2949.35</v>
      </c>
      <c r="J241" s="5">
        <f>IF(H241&gt;0,I241/H241,"")</f>
        <v/>
      </c>
      <c r="K241" s="5">
        <f>IF(J241="","",J241/Inputs!$B$1)</f>
        <v/>
      </c>
      <c r="L241" t="inlineStr">
        <is>
          <t>Generic or other</t>
        </is>
      </c>
      <c r="M241" t="inlineStr">
        <is>
          <t>Med City Pharma</t>
        </is>
      </c>
      <c r="N241" t="inlineStr">
        <is>
          <t>ZIMMO TRADING ESTABLISHMENT</t>
        </is>
      </c>
      <c r="O241" t="inlineStr">
        <is>
          <t>0705269614</t>
        </is>
      </c>
    </row>
    <row r="242">
      <c r="A242" t="inlineStr">
        <is>
          <t>J01DD</t>
        </is>
      </c>
      <c r="B242" t="inlineStr"/>
      <c r="C242" t="inlineStr">
        <is>
          <t>AVIBACTAM</t>
        </is>
      </c>
      <c r="D242" t="inlineStr">
        <is>
          <t>Cazovy</t>
        </is>
      </c>
      <c r="E242" t="inlineStr">
        <is>
          <t>0.5, 2</t>
        </is>
      </c>
      <c r="F242" t="inlineStr">
        <is>
          <t>g</t>
        </is>
      </c>
      <c r="G242" t="inlineStr">
        <is>
          <t>Powder for concentrate for solution for infusion</t>
        </is>
      </c>
      <c r="H242" t="n">
        <v>10</v>
      </c>
      <c r="I242" t="n">
        <v>3176.25</v>
      </c>
      <c r="J242" s="5">
        <f>IF(H242&gt;0,I242/H242,"")</f>
        <v/>
      </c>
      <c r="K242" s="5">
        <f>IF(J242="","",J242/Inputs!$B$1)</f>
        <v/>
      </c>
      <c r="L242" t="inlineStr">
        <is>
          <t>Generic or other</t>
        </is>
      </c>
      <c r="M242" t="inlineStr">
        <is>
          <t>Jazeera Pharmaceutical Industries (JPI)</t>
        </is>
      </c>
      <c r="N242" t="inlineStr">
        <is>
          <t>Jazeera Pharmaceutical Industries (JPI)</t>
        </is>
      </c>
      <c r="O242" t="inlineStr">
        <is>
          <t>1105269642</t>
        </is>
      </c>
    </row>
    <row r="243">
      <c r="A243" t="inlineStr">
        <is>
          <t>J01DD</t>
        </is>
      </c>
      <c r="B243" t="inlineStr"/>
      <c r="C243" t="inlineStr">
        <is>
          <t>AVIBACTAM</t>
        </is>
      </c>
      <c r="D243" t="inlineStr">
        <is>
          <t>ZAVICEFTA 2 g/0.5 g Vial</t>
        </is>
      </c>
      <c r="E243" t="inlineStr">
        <is>
          <t>2,0.5</t>
        </is>
      </c>
      <c r="F243" t="inlineStr">
        <is>
          <t>g</t>
        </is>
      </c>
      <c r="G243" t="inlineStr">
        <is>
          <t>Powder for concentrate for solution for infusion</t>
        </is>
      </c>
      <c r="H243" t="n">
        <v>10</v>
      </c>
      <c r="I243" t="n">
        <v>4537.5</v>
      </c>
      <c r="J243" s="5">
        <f>IF(H243&gt;0,I243/H243,"")</f>
        <v/>
      </c>
      <c r="K243" s="5">
        <f>IF(J243="","",J243/Inputs!$B$1)</f>
        <v/>
      </c>
      <c r="L243" t="inlineStr">
        <is>
          <t>Originator</t>
        </is>
      </c>
      <c r="M243" t="inlineStr">
        <is>
          <t>PFIZER SAUDI LIMITED</t>
        </is>
      </c>
      <c r="N243" t="inlineStr">
        <is>
          <t>Pfizer Saudi TradingFarouk, Maamoun Tamer &amp; CO</t>
        </is>
      </c>
      <c r="O243" t="inlineStr">
        <is>
          <t>2204245188</t>
        </is>
      </c>
    </row>
    <row r="244">
      <c r="A244" t="inlineStr">
        <is>
          <t>J01DD</t>
        </is>
      </c>
      <c r="B244" t="inlineStr"/>
      <c r="C244" t="inlineStr">
        <is>
          <t>NIVOLUMAB</t>
        </is>
      </c>
      <c r="D244" t="inlineStr">
        <is>
          <t>OPDIVO 10 mg/ml solution for injection</t>
        </is>
      </c>
      <c r="E244" t="inlineStr">
        <is>
          <t>10</t>
        </is>
      </c>
      <c r="F244" t="inlineStr">
        <is>
          <t>mg</t>
        </is>
      </c>
      <c r="G244" t="inlineStr">
        <is>
          <t>Tablet</t>
        </is>
      </c>
      <c r="H244" t="n">
        <v>10</v>
      </c>
      <c r="I244" t="n">
        <v>6785.1</v>
      </c>
      <c r="J244" s="5">
        <f>IF(H244&gt;0,I244/H244,"")</f>
        <v/>
      </c>
      <c r="K244" s="5">
        <f>IF(J244="","",J244/Inputs!$B$1)</f>
        <v/>
      </c>
      <c r="L244" t="inlineStr">
        <is>
          <t>Originator</t>
        </is>
      </c>
      <c r="M244" t="inlineStr">
        <is>
          <t>SANOFI WINTHROP INDUSTRIE</t>
        </is>
      </c>
      <c r="N244" t="inlineStr">
        <is>
          <t>Sanofi Arabia Trading Co. Ltd</t>
        </is>
      </c>
      <c r="O244" t="inlineStr">
        <is>
          <t>21-37-10</t>
        </is>
      </c>
    </row>
    <row r="245">
      <c r="A245" t="inlineStr">
        <is>
          <t>J01DF</t>
        </is>
      </c>
      <c r="B245" t="inlineStr"/>
      <c r="C245" t="inlineStr">
        <is>
          <t>AVIBACTAM</t>
        </is>
      </c>
      <c r="D245" t="inlineStr">
        <is>
          <t>EMBLAVEO</t>
        </is>
      </c>
      <c r="E245" t="inlineStr">
        <is>
          <t>1.5, 0.5</t>
        </is>
      </c>
      <c r="F245" t="inlineStr">
        <is>
          <t>g</t>
        </is>
      </c>
      <c r="G245" t="inlineStr">
        <is>
          <t>Powder for concentrate for solution for infusion</t>
        </is>
      </c>
      <c r="H245" t="n">
        <v>10</v>
      </c>
      <c r="I245" t="n">
        <v>9011.299999999999</v>
      </c>
      <c r="J245" s="5">
        <f>IF(H245&gt;0,I245/H245,"")</f>
        <v/>
      </c>
      <c r="K245" s="5">
        <f>IF(J245="","",J245/Inputs!$B$1)</f>
        <v/>
      </c>
      <c r="L245" t="inlineStr">
        <is>
          <t>Generic or other</t>
        </is>
      </c>
      <c r="M245" t="inlineStr">
        <is>
          <t>Pfizer Europe MA EEIG</t>
        </is>
      </c>
      <c r="N245" t="inlineStr">
        <is>
          <t>Pfizer Saudi TradingFarouk, Maamoun Tamer &amp; CO</t>
        </is>
      </c>
      <c r="O245" t="inlineStr">
        <is>
          <t>2806260012</t>
        </is>
      </c>
    </row>
    <row r="246">
      <c r="A246" t="inlineStr">
        <is>
          <t>J01DH</t>
        </is>
      </c>
      <c r="B246" t="inlineStr">
        <is>
          <t>Carbapenems</t>
        </is>
      </c>
      <c r="C246" t="inlineStr">
        <is>
          <t>RELEBACTAM</t>
        </is>
      </c>
      <c r="D246" t="inlineStr">
        <is>
          <t>Recarbrio</t>
        </is>
      </c>
      <c r="E246" t="inlineStr">
        <is>
          <t>500,500,250</t>
        </is>
      </c>
      <c r="F246" t="inlineStr">
        <is>
          <t>mg</t>
        </is>
      </c>
      <c r="G246" t="inlineStr">
        <is>
          <t>Powder for solution for infusion</t>
        </is>
      </c>
      <c r="H246" t="n">
        <v>25</v>
      </c>
      <c r="I246" t="n">
        <v>15509.4</v>
      </c>
      <c r="J246" s="5">
        <f>IF(H246&gt;0,I246/H246,"")</f>
        <v/>
      </c>
      <c r="K246" s="5">
        <f>IF(J246="","",J246/Inputs!$B$1)</f>
        <v/>
      </c>
      <c r="L246" t="inlineStr">
        <is>
          <t>MSD</t>
        </is>
      </c>
      <c r="M246" t="inlineStr">
        <is>
          <t>Merck Sharp &amp; Dohme B.V</t>
        </is>
      </c>
      <c r="N246" t="inlineStr">
        <is>
          <t>ALNAGHI COMPANY</t>
        </is>
      </c>
      <c r="O246" t="inlineStr">
        <is>
          <t>1304233540</t>
        </is>
      </c>
    </row>
    <row r="247">
      <c r="A247" t="inlineStr">
        <is>
          <t>J01DI</t>
        </is>
      </c>
      <c r="B247" t="inlineStr">
        <is>
          <t>Other cephalosporins</t>
        </is>
      </c>
      <c r="C247" t="inlineStr">
        <is>
          <t>CEFTOLOZANE</t>
        </is>
      </c>
      <c r="D247" t="inlineStr">
        <is>
          <t>ZERBAXA Powder For Injection Vial</t>
        </is>
      </c>
      <c r="E247" t="inlineStr">
        <is>
          <t>0.5,1</t>
        </is>
      </c>
      <c r="F247" t="inlineStr">
        <is>
          <t>mg</t>
        </is>
      </c>
      <c r="G247" t="inlineStr">
        <is>
          <t>Powder for injection</t>
        </is>
      </c>
      <c r="H247" t="n">
        <v>10</v>
      </c>
      <c r="I247" t="n">
        <v>3282.1</v>
      </c>
      <c r="J247" s="5">
        <f>IF(H247&gt;0,I247/H247,"")</f>
        <v/>
      </c>
      <c r="K247" s="5">
        <f>IF(J247="","",J247/Inputs!$B$1)</f>
        <v/>
      </c>
      <c r="L247" t="inlineStr">
        <is>
          <t>MSD</t>
        </is>
      </c>
      <c r="M247" t="inlineStr">
        <is>
          <t>MERCK SHARP &amp; DOHME</t>
        </is>
      </c>
      <c r="N247" t="inlineStr">
        <is>
          <t>ALNAGHI COMPANY</t>
        </is>
      </c>
      <c r="O247" t="inlineStr">
        <is>
          <t>2501233167</t>
        </is>
      </c>
    </row>
    <row r="248">
      <c r="A248" t="inlineStr">
        <is>
          <t>J01XX</t>
        </is>
      </c>
      <c r="B248" t="inlineStr">
        <is>
          <t>Other antibacterials</t>
        </is>
      </c>
      <c r="C248" t="inlineStr"/>
      <c r="D248" t="inlineStr">
        <is>
          <t>LINDEC 600 mg Film-coated Tablet</t>
        </is>
      </c>
      <c r="E248" t="inlineStr">
        <is>
          <t>600</t>
        </is>
      </c>
      <c r="F248" t="inlineStr">
        <is>
          <t>mg</t>
        </is>
      </c>
      <c r="G248" t="inlineStr">
        <is>
          <t>Film-coated tablet</t>
        </is>
      </c>
      <c r="H248" t="n">
        <v>30</v>
      </c>
      <c r="I248" t="n">
        <v>1535.75</v>
      </c>
      <c r="J248" s="5">
        <f>IF(H248&gt;0,I248/H248,"")</f>
        <v/>
      </c>
      <c r="K248" s="5">
        <f>IF(J248="","",J248/Inputs!$B$1)</f>
        <v/>
      </c>
      <c r="L248" t="inlineStr">
        <is>
          <t>Generic or other</t>
        </is>
      </c>
      <c r="M248" t="inlineStr">
        <is>
          <t>APOTEX INC. (SIGNET SITE)</t>
        </is>
      </c>
      <c r="N248" t="inlineStr">
        <is>
          <t>Cigalah Group</t>
        </is>
      </c>
      <c r="O248" t="inlineStr">
        <is>
          <t>1808258048</t>
        </is>
      </c>
    </row>
    <row r="249">
      <c r="A249" t="inlineStr">
        <is>
          <t>J01XX</t>
        </is>
      </c>
      <c r="B249" t="inlineStr">
        <is>
          <t>Other antibacterials</t>
        </is>
      </c>
      <c r="C249" t="inlineStr"/>
      <c r="D249" t="inlineStr">
        <is>
          <t>Zenix</t>
        </is>
      </c>
      <c r="E249" t="inlineStr">
        <is>
          <t>600</t>
        </is>
      </c>
      <c r="F249" t="inlineStr">
        <is>
          <t>mg</t>
        </is>
      </c>
      <c r="G249" t="inlineStr">
        <is>
          <t>Film-coated tablet</t>
        </is>
      </c>
      <c r="H249" t="n">
        <v>20</v>
      </c>
      <c r="I249" t="n">
        <v>1137.6</v>
      </c>
      <c r="J249" s="5">
        <f>IF(H249&gt;0,I249/H249,"")</f>
        <v/>
      </c>
      <c r="K249" s="5">
        <f>IF(J249="","",J249/Inputs!$B$1)</f>
        <v/>
      </c>
      <c r="L249" t="inlineStr">
        <is>
          <t>Generic or other</t>
        </is>
      </c>
      <c r="M249" t="inlineStr">
        <is>
          <t>STADA ARZNEIMITTEL GmbH</t>
        </is>
      </c>
      <c r="N249" t="inlineStr">
        <is>
          <t>Alkamal import officeSalehiya Trading Co.STADA Arabia Limited Company</t>
        </is>
      </c>
      <c r="O249" t="inlineStr">
        <is>
          <t>0708222418</t>
        </is>
      </c>
    </row>
    <row r="250">
      <c r="A250" t="inlineStr">
        <is>
          <t>J01XX</t>
        </is>
      </c>
      <c r="B250" t="inlineStr">
        <is>
          <t>Other antibacterials</t>
        </is>
      </c>
      <c r="C250" t="inlineStr"/>
      <c r="D250" t="inlineStr">
        <is>
          <t>Lidolinz</t>
        </is>
      </c>
      <c r="E250" t="inlineStr">
        <is>
          <t>600</t>
        </is>
      </c>
      <c r="F250" t="inlineStr">
        <is>
          <t>mg</t>
        </is>
      </c>
      <c r="G250" t="inlineStr">
        <is>
          <t>Film-coated tablet</t>
        </is>
      </c>
      <c r="H250" t="n">
        <v>10</v>
      </c>
      <c r="I250" t="n">
        <v>625.65</v>
      </c>
      <c r="J250" s="5">
        <f>IF(H250&gt;0,I250/H250,"")</f>
        <v/>
      </c>
      <c r="K250" s="5">
        <f>IF(J250="","",J250/Inputs!$B$1)</f>
        <v/>
      </c>
      <c r="L250" t="inlineStr">
        <is>
          <t>Generic or other</t>
        </is>
      </c>
      <c r="M250" t="inlineStr">
        <is>
          <t>CALIFORNIA GREENS CORPORATION FACTORY</t>
        </is>
      </c>
      <c r="N250" t="inlineStr">
        <is>
          <t>Mahd Alseha Medical CoENAYAT ALTABEAH EST.</t>
        </is>
      </c>
      <c r="O250" t="inlineStr">
        <is>
          <t>1407257751</t>
        </is>
      </c>
    </row>
    <row r="251">
      <c r="A251" t="inlineStr">
        <is>
          <t>J01XX</t>
        </is>
      </c>
      <c r="B251" t="inlineStr">
        <is>
          <t>Other antibacterials</t>
        </is>
      </c>
      <c r="C251" t="inlineStr"/>
      <c r="D251" t="inlineStr">
        <is>
          <t>Zodinex</t>
        </is>
      </c>
      <c r="E251" t="inlineStr">
        <is>
          <t>600</t>
        </is>
      </c>
      <c r="F251" t="inlineStr">
        <is>
          <t>mg</t>
        </is>
      </c>
      <c r="G251" t="inlineStr">
        <is>
          <t>Film-coated tablet</t>
        </is>
      </c>
      <c r="H251" t="n">
        <v>20</v>
      </c>
      <c r="I251" t="n">
        <v>1251.35</v>
      </c>
      <c r="J251" s="5">
        <f>IF(H251&gt;0,I251/H251,"")</f>
        <v/>
      </c>
      <c r="K251" s="5">
        <f>IF(J251="","",J251/Inputs!$B$1)</f>
        <v/>
      </c>
      <c r="L251" t="inlineStr">
        <is>
          <t>Generic or other</t>
        </is>
      </c>
      <c r="M251" t="inlineStr">
        <is>
          <t>Middle East Pharmaceutical Industries Co Ltd Avalon Pharma</t>
        </is>
      </c>
      <c r="N251" t="inlineStr">
        <is>
          <t>Middle East Pharmaceutical Industries Co Ltd Avalon Pharma</t>
        </is>
      </c>
      <c r="O251" t="inlineStr">
        <is>
          <t>2711234560</t>
        </is>
      </c>
    </row>
    <row r="252">
      <c r="A252" t="inlineStr">
        <is>
          <t>J01XX</t>
        </is>
      </c>
      <c r="B252" t="inlineStr">
        <is>
          <t>Other antibacterials</t>
        </is>
      </c>
      <c r="C252" t="inlineStr"/>
      <c r="D252" t="inlineStr">
        <is>
          <t>Lenzal</t>
        </is>
      </c>
      <c r="E252" t="inlineStr">
        <is>
          <t>600</t>
        </is>
      </c>
      <c r="F252" t="inlineStr">
        <is>
          <t>mg</t>
        </is>
      </c>
      <c r="G252" t="inlineStr">
        <is>
          <t>Film-coated tablet</t>
        </is>
      </c>
      <c r="H252" t="n">
        <v>30</v>
      </c>
      <c r="I252" t="n">
        <v>1877.1</v>
      </c>
      <c r="J252" s="5">
        <f>IF(H252&gt;0,I252/H252,"")</f>
        <v/>
      </c>
      <c r="K252" s="5">
        <f>IF(J252="","",J252/Inputs!$B$1)</f>
        <v/>
      </c>
      <c r="L252" t="inlineStr">
        <is>
          <t>Generic or other</t>
        </is>
      </c>
      <c r="M252" t="inlineStr">
        <is>
          <t>Alrai Pharmaceutical industry Co. (L.L.C)</t>
        </is>
      </c>
      <c r="N252" t="inlineStr">
        <is>
          <t>ZIMMO TRADING ESTABLISHMENT</t>
        </is>
      </c>
      <c r="O252" t="inlineStr">
        <is>
          <t>2306257595</t>
        </is>
      </c>
    </row>
    <row r="253">
      <c r="A253" t="inlineStr">
        <is>
          <t>J01XX</t>
        </is>
      </c>
      <c r="B253" t="inlineStr">
        <is>
          <t>Other antibacterials</t>
        </is>
      </c>
      <c r="C253" t="inlineStr"/>
      <c r="D253" t="inlineStr">
        <is>
          <t>DILIZOLEN 600MG TABLET</t>
        </is>
      </c>
      <c r="E253" t="inlineStr">
        <is>
          <t>600</t>
        </is>
      </c>
      <c r="F253" t="inlineStr">
        <is>
          <t>mg</t>
        </is>
      </c>
      <c r="G253" t="inlineStr">
        <is>
          <t>Tablet</t>
        </is>
      </c>
      <c r="H253" t="n">
        <v>20</v>
      </c>
      <c r="I253" t="n">
        <v>1404.45</v>
      </c>
      <c r="J253" s="5">
        <f>IF(H253&gt;0,I253/H253,"")</f>
        <v/>
      </c>
      <c r="K253" s="5">
        <f>IF(J253="","",J253/Inputs!$B$1)</f>
        <v/>
      </c>
      <c r="L253" t="inlineStr">
        <is>
          <t>Generic or other</t>
        </is>
      </c>
      <c r="M253" t="inlineStr">
        <is>
          <t>Glenmark Pharmaceuticals Limited</t>
        </is>
      </c>
      <c r="N253" t="inlineStr">
        <is>
          <t>Salehiya Trading Co.</t>
        </is>
      </c>
      <c r="O253" t="inlineStr">
        <is>
          <t>1603257077</t>
        </is>
      </c>
    </row>
    <row r="254">
      <c r="A254" t="inlineStr">
        <is>
          <t>J01XX</t>
        </is>
      </c>
      <c r="B254" t="inlineStr">
        <is>
          <t>Other antibacterials</t>
        </is>
      </c>
      <c r="C254" t="inlineStr"/>
      <c r="D254" t="inlineStr">
        <is>
          <t>Lozned</t>
        </is>
      </c>
      <c r="E254" t="inlineStr">
        <is>
          <t>2</t>
        </is>
      </c>
      <c r="F254" t="inlineStr">
        <is>
          <t>mg/ml</t>
        </is>
      </c>
      <c r="G254" t="inlineStr">
        <is>
          <t>Solution for infusion</t>
        </is>
      </c>
      <c r="H254" t="n">
        <v>1</v>
      </c>
      <c r="I254" t="n">
        <v>136.15</v>
      </c>
      <c r="J254" s="5">
        <f>IF(H254&gt;0,I254/H254,"")</f>
        <v/>
      </c>
      <c r="K254" s="5">
        <f>IF(J254="","",J254/Inputs!$B$1)</f>
        <v/>
      </c>
      <c r="L254" t="inlineStr">
        <is>
          <t>Generic or other</t>
        </is>
      </c>
      <c r="M254" t="inlineStr">
        <is>
          <t>MS PHARMA for Pharmaceuticals</t>
        </is>
      </c>
      <c r="N254" t="inlineStr">
        <is>
          <t>Cigalah Group</t>
        </is>
      </c>
      <c r="O254" t="inlineStr">
        <is>
          <t>2105269812</t>
        </is>
      </c>
    </row>
    <row r="255">
      <c r="A255" t="inlineStr">
        <is>
          <t>J01XX</t>
        </is>
      </c>
      <c r="B255" t="inlineStr">
        <is>
          <t>Other antibacterials</t>
        </is>
      </c>
      <c r="C255" t="inlineStr"/>
      <c r="D255" t="inlineStr">
        <is>
          <t>Zersa</t>
        </is>
      </c>
      <c r="E255" t="inlineStr">
        <is>
          <t>2</t>
        </is>
      </c>
      <c r="F255" t="inlineStr">
        <is>
          <t>mg/ml</t>
        </is>
      </c>
      <c r="G255" t="inlineStr">
        <is>
          <t>Solution for infusion</t>
        </is>
      </c>
      <c r="H255" t="n">
        <v>1</v>
      </c>
      <c r="I255" t="n">
        <v>136.9</v>
      </c>
      <c r="J255" s="5">
        <f>IF(H255&gt;0,I255/H255,"")</f>
        <v/>
      </c>
      <c r="K255" s="5">
        <f>IF(J255="","",J255/Inputs!$B$1)</f>
        <v/>
      </c>
      <c r="L255" t="inlineStr">
        <is>
          <t>Generic or other</t>
        </is>
      </c>
      <c r="M255" t="inlineStr">
        <is>
          <t>Jazeera Pharmaceutical Industries (JPI)</t>
        </is>
      </c>
      <c r="N255" t="inlineStr">
        <is>
          <t>Jazeera Pharmaceutical Industries (JPI)</t>
        </is>
      </c>
      <c r="O255" t="inlineStr">
        <is>
          <t>1810211196</t>
        </is>
      </c>
    </row>
    <row r="256">
      <c r="A256" t="inlineStr">
        <is>
          <t>J01XX</t>
        </is>
      </c>
      <c r="B256" t="inlineStr">
        <is>
          <t>Other antibacterials</t>
        </is>
      </c>
      <c r="C256" t="inlineStr"/>
      <c r="D256" t="inlineStr">
        <is>
          <t>LINID 2 MG/ML SOLUTION FOR INFUSION</t>
        </is>
      </c>
      <c r="E256" t="inlineStr">
        <is>
          <t>2</t>
        </is>
      </c>
      <c r="F256" t="inlineStr">
        <is>
          <t>mg/ml</t>
        </is>
      </c>
      <c r="G256" t="inlineStr">
        <is>
          <t>Solution for infusion</t>
        </is>
      </c>
      <c r="H256" t="n">
        <v>1</v>
      </c>
      <c r="I256" t="n">
        <v>144.15</v>
      </c>
      <c r="J256" s="5">
        <f>IF(H256&gt;0,I256/H256,"")</f>
        <v/>
      </c>
      <c r="K256" s="5">
        <f>IF(J256="","",J256/Inputs!$B$1)</f>
        <v/>
      </c>
      <c r="L256" t="inlineStr">
        <is>
          <t>Generic or other</t>
        </is>
      </c>
      <c r="M256" t="inlineStr">
        <is>
          <t>AJA PHARMACEUTICAL INDUSTRIES</t>
        </is>
      </c>
      <c r="N256" t="inlineStr">
        <is>
          <t>AJA PHARMACEUTICAL INDUSTRIES</t>
        </is>
      </c>
      <c r="O256" t="inlineStr">
        <is>
          <t>2305233692</t>
        </is>
      </c>
    </row>
    <row r="257">
      <c r="A257" t="inlineStr">
        <is>
          <t>J01XX</t>
        </is>
      </c>
      <c r="B257" t="inlineStr">
        <is>
          <t>Other antibacterials</t>
        </is>
      </c>
      <c r="C257" t="inlineStr"/>
      <c r="D257" t="inlineStr">
        <is>
          <t>KINZADO</t>
        </is>
      </c>
      <c r="E257" t="inlineStr">
        <is>
          <t>600</t>
        </is>
      </c>
      <c r="F257" t="inlineStr">
        <is>
          <t>mg</t>
        </is>
      </c>
      <c r="G257" t="inlineStr">
        <is>
          <t>Film-coated tablet</t>
        </is>
      </c>
      <c r="H257" t="n">
        <v>10</v>
      </c>
      <c r="I257" t="n">
        <v>1447.2</v>
      </c>
      <c r="J257" s="5">
        <f>IF(H257&gt;0,I257/H257,"")</f>
        <v/>
      </c>
      <c r="K257" s="5">
        <f>IF(J257="","",J257/Inputs!$B$1)</f>
        <v/>
      </c>
      <c r="L257" t="inlineStr">
        <is>
          <t>Generic or other</t>
        </is>
      </c>
      <c r="M257" t="inlineStr">
        <is>
          <t>SPIMACO ADDWAEIH</t>
        </is>
      </c>
      <c r="N257" t="inlineStr">
        <is>
          <t>SPIMACO</t>
        </is>
      </c>
      <c r="O257" t="inlineStr">
        <is>
          <t>2307257834</t>
        </is>
      </c>
    </row>
    <row r="258">
      <c r="A258" t="inlineStr">
        <is>
          <t>J01XX</t>
        </is>
      </c>
      <c r="B258" t="inlineStr">
        <is>
          <t>Other antibacterials</t>
        </is>
      </c>
      <c r="C258" t="inlineStr"/>
      <c r="D258" t="inlineStr">
        <is>
          <t>Zillion</t>
        </is>
      </c>
      <c r="E258" t="inlineStr">
        <is>
          <t>600</t>
        </is>
      </c>
      <c r="F258" t="inlineStr">
        <is>
          <t>mg</t>
        </is>
      </c>
      <c r="G258" t="inlineStr">
        <is>
          <t>Film-coated tablet</t>
        </is>
      </c>
      <c r="H258" t="n">
        <v>10</v>
      </c>
      <c r="I258" t="n">
        <v>1447.2</v>
      </c>
      <c r="J258" s="5">
        <f>IF(H258&gt;0,I258/H258,"")</f>
        <v/>
      </c>
      <c r="K258" s="5">
        <f>IF(J258="","",J258/Inputs!$B$1)</f>
        <v/>
      </c>
      <c r="L258" t="inlineStr">
        <is>
          <t>Generic or other</t>
        </is>
      </c>
      <c r="M258" t="inlineStr">
        <is>
          <t>Saudi Amarox</t>
        </is>
      </c>
      <c r="N258" t="inlineStr">
        <is>
          <t>Saudi AmaroxFarouk, Maamoun Tamer &amp; CO</t>
        </is>
      </c>
      <c r="O258" t="inlineStr">
        <is>
          <t>2202210538</t>
        </is>
      </c>
    </row>
    <row r="259">
      <c r="A259" t="inlineStr">
        <is>
          <t>J01XX</t>
        </is>
      </c>
      <c r="B259" t="inlineStr">
        <is>
          <t>Other antibacterials</t>
        </is>
      </c>
      <c r="C259" t="inlineStr"/>
      <c r="D259" t="inlineStr">
        <is>
          <t>Zextro</t>
        </is>
      </c>
      <c r="E259" t="inlineStr">
        <is>
          <t>600</t>
        </is>
      </c>
      <c r="F259" t="inlineStr">
        <is>
          <t>mg</t>
        </is>
      </c>
      <c r="G259" t="inlineStr">
        <is>
          <t>Film-coated tablet</t>
        </is>
      </c>
      <c r="H259" t="n">
        <v>20</v>
      </c>
      <c r="I259" t="n">
        <v>2894.4</v>
      </c>
      <c r="J259" s="5">
        <f>IF(H259&gt;0,I259/H259,"")</f>
        <v/>
      </c>
      <c r="K259" s="5">
        <f>IF(J259="","",J259/Inputs!$B$1)</f>
        <v/>
      </c>
      <c r="L259" t="inlineStr">
        <is>
          <t>Generic or other</t>
        </is>
      </c>
      <c r="M259" t="inlineStr">
        <is>
          <t>Med City Pharma</t>
        </is>
      </c>
      <c r="N259" t="inlineStr">
        <is>
          <t>ZIMMO TRADING ESTABLISHMENTMed city</t>
        </is>
      </c>
      <c r="O259" t="inlineStr">
        <is>
          <t>0203256966</t>
        </is>
      </c>
    </row>
    <row r="260">
      <c r="A260" t="inlineStr">
        <is>
          <t>J01XX</t>
        </is>
      </c>
      <c r="B260" t="inlineStr">
        <is>
          <t>Other antibacterials</t>
        </is>
      </c>
      <c r="C260" t="inlineStr"/>
      <c r="D260" t="inlineStr">
        <is>
          <t>ZYVOX 2 MG/ML SOLUTION FOR INFUSION</t>
        </is>
      </c>
      <c r="E260" t="inlineStr">
        <is>
          <t>2</t>
        </is>
      </c>
      <c r="F260" t="inlineStr">
        <is>
          <t>mg/ml</t>
        </is>
      </c>
      <c r="G260" t="inlineStr">
        <is>
          <t>Solution for infusion</t>
        </is>
      </c>
      <c r="H260" t="n">
        <v>10</v>
      </c>
      <c r="I260" t="n">
        <v>1521.65</v>
      </c>
      <c r="J260" s="5">
        <f>IF(H260&gt;0,I260/H260,"")</f>
        <v/>
      </c>
      <c r="K260" s="5">
        <f>IF(J260="","",J260/Inputs!$B$1)</f>
        <v/>
      </c>
      <c r="L260" t="inlineStr">
        <is>
          <t>Generic or other</t>
        </is>
      </c>
      <c r="M260" t="inlineStr">
        <is>
          <t>PFIZER INC</t>
        </is>
      </c>
      <c r="N260" t="inlineStr">
        <is>
          <t>Abdulrehman Algosaibi G.T.C.ALNAGHI COMPANY</t>
        </is>
      </c>
      <c r="O260" t="inlineStr">
        <is>
          <t>0402269079</t>
        </is>
      </c>
    </row>
    <row r="261">
      <c r="A261" t="inlineStr">
        <is>
          <t>J01XX</t>
        </is>
      </c>
      <c r="B261" t="inlineStr">
        <is>
          <t>Other antibacterials</t>
        </is>
      </c>
      <c r="C261" t="inlineStr"/>
      <c r="D261" t="inlineStr">
        <is>
          <t>ZERSA 600 mg Film-coated Tablet</t>
        </is>
      </c>
      <c r="E261" t="inlineStr">
        <is>
          <t>600</t>
        </is>
      </c>
      <c r="F261" t="inlineStr">
        <is>
          <t>mg</t>
        </is>
      </c>
      <c r="G261" t="inlineStr">
        <is>
          <t>Film-coated tablet</t>
        </is>
      </c>
      <c r="H261" t="n">
        <v>10</v>
      </c>
      <c r="I261" t="n">
        <v>1929.6</v>
      </c>
      <c r="J261" s="5">
        <f>IF(H261&gt;0,I261/H261,"")</f>
        <v/>
      </c>
      <c r="K261" s="5">
        <f>IF(J261="","",J261/Inputs!$B$1)</f>
        <v/>
      </c>
      <c r="L261" t="inlineStr">
        <is>
          <t>Generic or other</t>
        </is>
      </c>
      <c r="M261" t="inlineStr">
        <is>
          <t>Jazeera Pharmaceutical Industries (JPI)</t>
        </is>
      </c>
      <c r="N261" t="inlineStr">
        <is>
          <t>Jazeera Pharmaceutical Industries (JPI)</t>
        </is>
      </c>
      <c r="O261" t="inlineStr">
        <is>
          <t>1902233260</t>
        </is>
      </c>
    </row>
    <row r="262">
      <c r="A262" t="inlineStr">
        <is>
          <t>J01XX</t>
        </is>
      </c>
      <c r="B262" t="inlineStr">
        <is>
          <t>Other antibacterials</t>
        </is>
      </c>
      <c r="C262" t="inlineStr"/>
      <c r="D262" t="inlineStr">
        <is>
          <t>Zillion</t>
        </is>
      </c>
      <c r="E262" t="inlineStr">
        <is>
          <t>20</t>
        </is>
      </c>
      <c r="F262" t="inlineStr">
        <is>
          <t>mg/ml</t>
        </is>
      </c>
      <c r="G262" t="inlineStr">
        <is>
          <t>Oral suspension</t>
        </is>
      </c>
      <c r="H262" t="n">
        <v>1</v>
      </c>
      <c r="I262" t="n">
        <v>598.5</v>
      </c>
      <c r="J262" s="5">
        <f>IF(H262&gt;0,I262/H262,"")</f>
        <v/>
      </c>
      <c r="K262" s="5">
        <f>IF(J262="","",J262/Inputs!$B$1)</f>
        <v/>
      </c>
      <c r="L262" t="inlineStr">
        <is>
          <t>Generic or other</t>
        </is>
      </c>
      <c r="M262" t="inlineStr">
        <is>
          <t>Saudi Amarox</t>
        </is>
      </c>
      <c r="N262" t="inlineStr">
        <is>
          <t>Farouk, Maamoun Tamer &amp; CO</t>
        </is>
      </c>
      <c r="O262" t="inlineStr">
        <is>
          <t>3012223047</t>
        </is>
      </c>
    </row>
    <row r="263">
      <c r="A263" t="inlineStr">
        <is>
          <t>J01XX</t>
        </is>
      </c>
      <c r="B263" t="inlineStr">
        <is>
          <t>Other antibacterials</t>
        </is>
      </c>
      <c r="C263" t="inlineStr"/>
      <c r="D263" t="inlineStr">
        <is>
          <t>Zersa</t>
        </is>
      </c>
      <c r="E263" t="inlineStr">
        <is>
          <t>20</t>
        </is>
      </c>
      <c r="F263" t="inlineStr">
        <is>
          <t>mg/ml</t>
        </is>
      </c>
      <c r="G263" t="inlineStr">
        <is>
          <t>Oral suspension</t>
        </is>
      </c>
      <c r="H263" t="n">
        <v>1</v>
      </c>
      <c r="I263" t="n">
        <v>630</v>
      </c>
      <c r="J263" s="5">
        <f>IF(H263&gt;0,I263/H263,"")</f>
        <v/>
      </c>
      <c r="K263" s="5">
        <f>IF(J263="","",J263/Inputs!$B$1)</f>
        <v/>
      </c>
      <c r="L263" t="inlineStr">
        <is>
          <t>Generic or other</t>
        </is>
      </c>
      <c r="M263" t="inlineStr">
        <is>
          <t>Jazeera Pharmaceutical Industries (JPI)</t>
        </is>
      </c>
      <c r="N263" t="inlineStr">
        <is>
          <t>Abdulrehman Algosaibi G.T.C.</t>
        </is>
      </c>
      <c r="O263" t="inlineStr">
        <is>
          <t>2009211071</t>
        </is>
      </c>
    </row>
    <row r="264">
      <c r="A264" t="inlineStr">
        <is>
          <t>J05AB</t>
        </is>
      </c>
      <c r="B264" t="inlineStr"/>
      <c r="C264" t="inlineStr"/>
      <c r="D264" t="inlineStr">
        <is>
          <t>VALGAN</t>
        </is>
      </c>
      <c r="E264" t="inlineStr">
        <is>
          <t>450</t>
        </is>
      </c>
      <c r="F264" t="inlineStr">
        <is>
          <t>mg</t>
        </is>
      </c>
      <c r="G264" t="inlineStr">
        <is>
          <t>Film-coated tablet</t>
        </is>
      </c>
      <c r="H264" t="n">
        <v>60</v>
      </c>
      <c r="I264" t="n">
        <v>2066</v>
      </c>
      <c r="J264" s="5">
        <f>IF(H264&gt;0,I264/H264,"")</f>
        <v/>
      </c>
      <c r="K264" s="5">
        <f>IF(J264="","",J264/Inputs!$B$1)</f>
        <v/>
      </c>
      <c r="L264" t="inlineStr">
        <is>
          <t>Generic or other</t>
        </is>
      </c>
      <c r="M264" t="inlineStr">
        <is>
          <t>Saudi Amarox</t>
        </is>
      </c>
      <c r="N264" t="inlineStr">
        <is>
          <t>Saudi AmaroxFarouk, Maamoun Tamer &amp; CO</t>
        </is>
      </c>
      <c r="O264" t="inlineStr">
        <is>
          <t>2112200352</t>
        </is>
      </c>
    </row>
    <row r="265">
      <c r="A265" t="inlineStr">
        <is>
          <t>J05AB</t>
        </is>
      </c>
      <c r="B265" t="inlineStr"/>
      <c r="C265" t="inlineStr"/>
      <c r="D265" t="inlineStr">
        <is>
          <t>Valgiver</t>
        </is>
      </c>
      <c r="E265" t="inlineStr">
        <is>
          <t>450</t>
        </is>
      </c>
      <c r="F265" t="inlineStr">
        <is>
          <t>mg</t>
        </is>
      </c>
      <c r="G265" t="inlineStr">
        <is>
          <t>Film-coated tablet</t>
        </is>
      </c>
      <c r="H265" t="n">
        <v>60</v>
      </c>
      <c r="I265" t="n">
        <v>2499.85</v>
      </c>
      <c r="J265" s="5">
        <f>IF(H265&gt;0,I265/H265,"")</f>
        <v/>
      </c>
      <c r="K265" s="5">
        <f>IF(J265="","",J265/Inputs!$B$1)</f>
        <v/>
      </c>
      <c r="L265" t="inlineStr">
        <is>
          <t>Generic or other</t>
        </is>
      </c>
      <c r="M265" t="inlineStr">
        <is>
          <t>ADEL AHMED AL-SHAEIR PHARMACEUTICAL COMPANY</t>
        </is>
      </c>
      <c r="N265" t="inlineStr">
        <is>
          <t>Adel Ahmed Alshaeir Pharmaceutical CompanyAlkamal import office</t>
        </is>
      </c>
      <c r="O265" t="inlineStr">
        <is>
          <t>0207222295</t>
        </is>
      </c>
    </row>
    <row r="266">
      <c r="A266" t="inlineStr">
        <is>
          <t>J05AB</t>
        </is>
      </c>
      <c r="B266" t="inlineStr"/>
      <c r="C266" t="inlineStr"/>
      <c r="D266" t="inlineStr">
        <is>
          <t>Valgaset</t>
        </is>
      </c>
      <c r="E266" t="inlineStr">
        <is>
          <t>450</t>
        </is>
      </c>
      <c r="F266" t="inlineStr">
        <is>
          <t>mg</t>
        </is>
      </c>
      <c r="G266" t="inlineStr">
        <is>
          <t>Tablet</t>
        </is>
      </c>
      <c r="H266" t="n">
        <v>60</v>
      </c>
      <c r="I266" t="n">
        <v>2499.85</v>
      </c>
      <c r="J266" s="5">
        <f>IF(H266&gt;0,I266/H266,"")</f>
        <v/>
      </c>
      <c r="K266" s="5">
        <f>IF(J266="","",J266/Inputs!$B$1)</f>
        <v/>
      </c>
      <c r="L266" t="inlineStr">
        <is>
          <t>Generic or other</t>
        </is>
      </c>
      <c r="M266" t="inlineStr">
        <is>
          <t>ALTAIF PHARMACEUTICALS COMPANY</t>
        </is>
      </c>
      <c r="N266" t="inlineStr">
        <is>
          <t>AL-TAIF PHARMACEUTICALS COMPANY (SPECTRO PHARMA)</t>
        </is>
      </c>
      <c r="O266" t="inlineStr">
        <is>
          <t>1901233119</t>
        </is>
      </c>
    </row>
    <row r="267">
      <c r="A267" t="inlineStr">
        <is>
          <t>J05AB</t>
        </is>
      </c>
      <c r="B267" t="inlineStr"/>
      <c r="C267" t="inlineStr"/>
      <c r="D267" t="inlineStr">
        <is>
          <t>VERCANZA 450 MG FILM COATED TABLET</t>
        </is>
      </c>
      <c r="E267" t="inlineStr">
        <is>
          <t>450</t>
        </is>
      </c>
      <c r="F267" t="inlineStr">
        <is>
          <t>mg</t>
        </is>
      </c>
      <c r="G267" t="inlineStr">
        <is>
          <t>Film-coated tablet</t>
        </is>
      </c>
      <c r="H267" t="n">
        <v>60</v>
      </c>
      <c r="I267" t="n">
        <v>3686.5</v>
      </c>
      <c r="J267" s="5">
        <f>IF(H267&gt;0,I267/H267,"")</f>
        <v/>
      </c>
      <c r="K267" s="5">
        <f>IF(J267="","",J267/Inputs!$B$1)</f>
        <v/>
      </c>
      <c r="L267" t="inlineStr">
        <is>
          <t>Generic or other</t>
        </is>
      </c>
      <c r="M267" t="inlineStr">
        <is>
          <t>SPIMACO ADDWAEIH</t>
        </is>
      </c>
      <c r="N267" t="inlineStr">
        <is>
          <t>SPIMACO</t>
        </is>
      </c>
      <c r="O267" t="inlineStr">
        <is>
          <t>2005257434</t>
        </is>
      </c>
    </row>
    <row r="268">
      <c r="A268" t="inlineStr">
        <is>
          <t>J05AB</t>
        </is>
      </c>
      <c r="B268" t="inlineStr"/>
      <c r="C268" t="inlineStr"/>
      <c r="D268" t="inlineStr">
        <is>
          <t>VALCYTE 450MG FILM - COATED TABLETS</t>
        </is>
      </c>
      <c r="E268" t="inlineStr">
        <is>
          <t>450</t>
        </is>
      </c>
      <c r="F268" t="inlineStr">
        <is>
          <t>mg</t>
        </is>
      </c>
      <c r="G268" t="inlineStr">
        <is>
          <t>Film-coated tablet</t>
        </is>
      </c>
      <c r="H268" t="n">
        <v>60</v>
      </c>
      <c r="I268" t="n">
        <v>3791.75</v>
      </c>
      <c r="J268" s="5">
        <f>IF(H268&gt;0,I268/H268,"")</f>
        <v/>
      </c>
      <c r="K268" s="5">
        <f>IF(J268="","",J268/Inputs!$B$1)</f>
        <v/>
      </c>
      <c r="L268" t="inlineStr">
        <is>
          <t>Generic or other</t>
        </is>
      </c>
      <c r="M268" t="inlineStr">
        <is>
          <t>CHEPLAPHARM Arzneimittel GmbH</t>
        </is>
      </c>
      <c r="N268" t="inlineStr">
        <is>
          <t>Abdulrehman Algosaibi G.T.C.Cigalah Group</t>
        </is>
      </c>
      <c r="O268" t="inlineStr">
        <is>
          <t>0402244833</t>
        </is>
      </c>
    </row>
    <row r="269">
      <c r="A269" t="inlineStr">
        <is>
          <t>J05AB</t>
        </is>
      </c>
      <c r="B269" t="inlineStr"/>
      <c r="C269" t="inlineStr"/>
      <c r="D269" t="inlineStr">
        <is>
          <t>valganciclovir</t>
        </is>
      </c>
      <c r="E269" t="inlineStr">
        <is>
          <t>50</t>
        </is>
      </c>
      <c r="F269" t="inlineStr">
        <is>
          <t>mg/ml</t>
        </is>
      </c>
      <c r="G269" t="inlineStr">
        <is>
          <t>Oral solution</t>
        </is>
      </c>
      <c r="H269" t="n">
        <v>1</v>
      </c>
      <c r="I269" t="n">
        <v>1206.95</v>
      </c>
      <c r="J269" s="5">
        <f>IF(H269&gt;0,I269/H269,"")</f>
        <v/>
      </c>
      <c r="K269" s="5">
        <f>IF(J269="","",J269/Inputs!$B$1)</f>
        <v/>
      </c>
      <c r="L269" t="inlineStr">
        <is>
          <t>Generic or other</t>
        </is>
      </c>
      <c r="M269" t="inlineStr">
        <is>
          <t>Granules Pharmaceuticals Inc</t>
        </is>
      </c>
      <c r="N269" t="inlineStr">
        <is>
          <t>International Pioneers</t>
        </is>
      </c>
      <c r="O269" t="inlineStr">
        <is>
          <t>0107260043</t>
        </is>
      </c>
    </row>
    <row r="270">
      <c r="A270" t="inlineStr">
        <is>
          <t>J05AB</t>
        </is>
      </c>
      <c r="B270" t="inlineStr"/>
      <c r="C270" t="inlineStr"/>
      <c r="D270" t="inlineStr">
        <is>
          <t>VALGAN 50MG/ML POWDER FOR ORAL SOLUTION</t>
        </is>
      </c>
      <c r="E270" t="inlineStr">
        <is>
          <t>50</t>
        </is>
      </c>
      <c r="F270" t="inlineStr">
        <is>
          <t>mg/ml</t>
        </is>
      </c>
      <c r="G270" t="inlineStr">
        <is>
          <t>Powder for oral solution</t>
        </is>
      </c>
      <c r="H270" t="n">
        <v>1</v>
      </c>
      <c r="I270" t="n">
        <v>1270.5</v>
      </c>
      <c r="J270" s="5">
        <f>IF(H270&gt;0,I270/H270,"")</f>
        <v/>
      </c>
      <c r="K270" s="5">
        <f>IF(J270="","",J270/Inputs!$B$1)</f>
        <v/>
      </c>
      <c r="L270" t="inlineStr">
        <is>
          <t>Generic or other</t>
        </is>
      </c>
      <c r="M270" t="inlineStr">
        <is>
          <t>Saudi Amarox</t>
        </is>
      </c>
      <c r="N270" t="inlineStr">
        <is>
          <t>Saudi AmaroxAL-DAWAA MEDICAL SERVICES CO. LTD</t>
        </is>
      </c>
      <c r="O270" t="inlineStr">
        <is>
          <t>2111222919</t>
        </is>
      </c>
    </row>
    <row r="271">
      <c r="A271" t="inlineStr">
        <is>
          <t>J05AF</t>
        </is>
      </c>
      <c r="B271" t="inlineStr"/>
      <c r="C271" t="inlineStr">
        <is>
          <t>DOLUTEGRAVIR</t>
        </is>
      </c>
      <c r="D271" t="inlineStr">
        <is>
          <t>Dovato</t>
        </is>
      </c>
      <c r="E271" t="inlineStr">
        <is>
          <t>300,52.6</t>
        </is>
      </c>
      <c r="F271" t="inlineStr">
        <is>
          <t>mg</t>
        </is>
      </c>
      <c r="G271" t="inlineStr">
        <is>
          <t>Film-coated tablet</t>
        </is>
      </c>
      <c r="H271" t="n">
        <v>30</v>
      </c>
      <c r="I271" t="n">
        <v>2740.9</v>
      </c>
      <c r="J271" s="5">
        <f>IF(H271&gt;0,I271/H271,"")</f>
        <v/>
      </c>
      <c r="K271" s="5">
        <f>IF(J271="","",J271/Inputs!$B$1)</f>
        <v/>
      </c>
      <c r="L271" t="inlineStr">
        <is>
          <t>Originator</t>
        </is>
      </c>
      <c r="M271" t="inlineStr">
        <is>
          <t>Glaxo Saudi Arabia Ltd.</t>
        </is>
      </c>
      <c r="N271" t="inlineStr">
        <is>
          <t>Saudi International Trading Company LTD</t>
        </is>
      </c>
      <c r="O271" t="inlineStr">
        <is>
          <t>1005200077</t>
        </is>
      </c>
    </row>
    <row r="272">
      <c r="A272" t="inlineStr">
        <is>
          <t>J05AG</t>
        </is>
      </c>
      <c r="B272" t="inlineStr">
        <is>
          <t>HIV NNRTIs</t>
        </is>
      </c>
      <c r="C272" t="inlineStr">
        <is>
          <t>DORAVIRINE</t>
        </is>
      </c>
      <c r="D272" t="inlineStr">
        <is>
          <t>Pifeltro</t>
        </is>
      </c>
      <c r="E272" t="inlineStr">
        <is>
          <t>100</t>
        </is>
      </c>
      <c r="F272" t="inlineStr">
        <is>
          <t>mg</t>
        </is>
      </c>
      <c r="G272" t="inlineStr">
        <is>
          <t>Film-coated tablet</t>
        </is>
      </c>
      <c r="H272" t="n">
        <v>30</v>
      </c>
      <c r="I272" t="n">
        <v>1361.8</v>
      </c>
      <c r="J272" s="5">
        <f>IF(H272&gt;0,I272/H272,"")</f>
        <v/>
      </c>
      <c r="K272" s="5">
        <f>IF(J272="","",J272/Inputs!$B$1)</f>
        <v/>
      </c>
      <c r="L272" t="inlineStr">
        <is>
          <t>MSD</t>
        </is>
      </c>
      <c r="M272" t="inlineStr">
        <is>
          <t>Merck Sharp &amp; Dohme B.V</t>
        </is>
      </c>
      <c r="N272" t="inlineStr">
        <is>
          <t>ALNAGHI COMPANY</t>
        </is>
      </c>
      <c r="O272" t="inlineStr">
        <is>
          <t>3001233195</t>
        </is>
      </c>
    </row>
    <row r="273">
      <c r="A273" t="inlineStr">
        <is>
          <t>J05AG</t>
        </is>
      </c>
      <c r="B273" t="inlineStr">
        <is>
          <t>HIV NNRTIs</t>
        </is>
      </c>
      <c r="C273" t="inlineStr">
        <is>
          <t>DORAVIRINE</t>
        </is>
      </c>
      <c r="D273" t="inlineStr">
        <is>
          <t>Delstrigo</t>
        </is>
      </c>
      <c r="E273" t="inlineStr">
        <is>
          <t>100,300,245</t>
        </is>
      </c>
      <c r="F273" t="inlineStr">
        <is>
          <t>mg</t>
        </is>
      </c>
      <c r="G273" t="inlineStr">
        <is>
          <t>Film-coated tablet</t>
        </is>
      </c>
      <c r="H273" t="n">
        <v>30</v>
      </c>
      <c r="I273" t="n">
        <v>2413.85</v>
      </c>
      <c r="J273" s="5">
        <f>IF(H273&gt;0,I273/H273,"")</f>
        <v/>
      </c>
      <c r="K273" s="5">
        <f>IF(J273="","",J273/Inputs!$B$1)</f>
        <v/>
      </c>
      <c r="L273" t="inlineStr">
        <is>
          <t>MSD</t>
        </is>
      </c>
      <c r="M273" t="inlineStr">
        <is>
          <t>Merck Sharp &amp; Dohme B.V</t>
        </is>
      </c>
      <c r="N273" t="inlineStr">
        <is>
          <t>ALNAGHI COMPANY</t>
        </is>
      </c>
      <c r="O273" t="inlineStr">
        <is>
          <t>1612223019</t>
        </is>
      </c>
    </row>
    <row r="274">
      <c r="A274" t="inlineStr">
        <is>
          <t>J05AR</t>
        </is>
      </c>
      <c r="B274" t="inlineStr">
        <is>
          <t>HIV combinations</t>
        </is>
      </c>
      <c r="C274" t="inlineStr">
        <is>
          <t>BICTEGRAVIR</t>
        </is>
      </c>
      <c r="D274" t="inlineStr">
        <is>
          <t>BIKTARVY</t>
        </is>
      </c>
      <c r="E274" t="inlineStr">
        <is>
          <t>200,52.45,25</t>
        </is>
      </c>
      <c r="F274" t="inlineStr">
        <is>
          <t>mg</t>
        </is>
      </c>
      <c r="G274" t="inlineStr">
        <is>
          <t>Film-coated tablet</t>
        </is>
      </c>
      <c r="H274" t="n">
        <v>30</v>
      </c>
      <c r="I274" t="n">
        <v>2881.95</v>
      </c>
      <c r="J274" s="5">
        <f>IF(H274&gt;0,I274/H274,"")</f>
        <v/>
      </c>
      <c r="K274" s="5">
        <f>IF(J274="","",J274/Inputs!$B$1)</f>
        <v/>
      </c>
      <c r="L274" t="inlineStr">
        <is>
          <t>Originator</t>
        </is>
      </c>
      <c r="M274" t="inlineStr">
        <is>
          <t>Gilead Sciences Ireland UC</t>
        </is>
      </c>
      <c r="N274" t="inlineStr">
        <is>
          <t>Cigalah GroupGilead Sciences Arabia Ltd</t>
        </is>
      </c>
      <c r="O274" t="inlineStr">
        <is>
          <t>1808260292</t>
        </is>
      </c>
    </row>
    <row r="275">
      <c r="A275" t="inlineStr">
        <is>
          <t>J05AX</t>
        </is>
      </c>
      <c r="B275" t="inlineStr">
        <is>
          <t>Other antivirals</t>
        </is>
      </c>
      <c r="C275" t="inlineStr">
        <is>
          <t>DOLUTEGRAVIR</t>
        </is>
      </c>
      <c r="D275" t="inlineStr">
        <is>
          <t>Dolutegravir Eva</t>
        </is>
      </c>
      <c r="E275" t="inlineStr">
        <is>
          <t>50</t>
        </is>
      </c>
      <c r="F275" t="inlineStr">
        <is>
          <t>mg</t>
        </is>
      </c>
      <c r="G275" t="inlineStr">
        <is>
          <t>Film-coated tablet</t>
        </is>
      </c>
      <c r="H275" t="n">
        <v>30</v>
      </c>
      <c r="I275" t="n">
        <v>1568</v>
      </c>
      <c r="J275" s="5">
        <f>IF(H275&gt;0,I275/H275,"")</f>
        <v/>
      </c>
      <c r="K275" s="5">
        <f>IF(J275="","",J275/Inputs!$B$1)</f>
        <v/>
      </c>
      <c r="L275" t="inlineStr">
        <is>
          <t>Generic or other</t>
        </is>
      </c>
      <c r="M275" t="inlineStr">
        <is>
          <t>Eva pharma for Industry</t>
        </is>
      </c>
      <c r="N275" t="inlineStr">
        <is>
          <t>Eva pharma for Industry</t>
        </is>
      </c>
      <c r="O275" t="inlineStr">
        <is>
          <t>3006257644</t>
        </is>
      </c>
    </row>
    <row r="276">
      <c r="A276" t="inlineStr">
        <is>
          <t>J05AX</t>
        </is>
      </c>
      <c r="B276" t="inlineStr">
        <is>
          <t>Other antivirals</t>
        </is>
      </c>
      <c r="C276" t="inlineStr">
        <is>
          <t>DOLUTEGRAVIR</t>
        </is>
      </c>
      <c r="D276" t="inlineStr">
        <is>
          <t>TIVICAY 50 mg Tablet</t>
        </is>
      </c>
      <c r="E276" t="inlineStr">
        <is>
          <t>50</t>
        </is>
      </c>
      <c r="F276" t="inlineStr">
        <is>
          <t>mg</t>
        </is>
      </c>
      <c r="G276" t="inlineStr">
        <is>
          <t>Film-coated tablet</t>
        </is>
      </c>
      <c r="H276" t="n">
        <v>30</v>
      </c>
      <c r="I276" t="n">
        <v>1680</v>
      </c>
      <c r="J276" s="5">
        <f>IF(H276&gt;0,I276/H276,"")</f>
        <v/>
      </c>
      <c r="K276" s="5">
        <f>IF(J276="","",J276/Inputs!$B$1)</f>
        <v/>
      </c>
      <c r="L276" t="inlineStr">
        <is>
          <t>Originator</t>
        </is>
      </c>
      <c r="M276" t="inlineStr">
        <is>
          <t>Glaxo Saudi Arabia Ltd.</t>
        </is>
      </c>
      <c r="N276" t="inlineStr">
        <is>
          <t>Saudi International Trading Company LTDGLAXO SAUDI ARABIA</t>
        </is>
      </c>
      <c r="O276" t="inlineStr">
        <is>
          <t>2508210984</t>
        </is>
      </c>
    </row>
    <row r="277">
      <c r="A277" t="inlineStr">
        <is>
          <t>J05AX</t>
        </is>
      </c>
      <c r="B277" t="inlineStr">
        <is>
          <t>Other antivirals</t>
        </is>
      </c>
      <c r="C277" t="inlineStr">
        <is>
          <t>DOLUTEGRAVIR</t>
        </is>
      </c>
      <c r="D277" t="inlineStr">
        <is>
          <t>TRIUMEQ 50mg/600mg/300mg film-coated tablet</t>
        </is>
      </c>
      <c r="E277" t="inlineStr">
        <is>
          <t>50,300,600</t>
        </is>
      </c>
      <c r="F277" t="inlineStr">
        <is>
          <t>mg</t>
        </is>
      </c>
      <c r="G277" t="inlineStr">
        <is>
          <t>Film-coated tablet</t>
        </is>
      </c>
      <c r="H277" t="n">
        <v>30</v>
      </c>
      <c r="I277" t="n">
        <v>3128.8</v>
      </c>
      <c r="J277" s="5">
        <f>IF(H277&gt;0,I277/H277,"")</f>
        <v/>
      </c>
      <c r="K277" s="5">
        <f>IF(J277="","",J277/Inputs!$B$1)</f>
        <v/>
      </c>
      <c r="L277" t="inlineStr">
        <is>
          <t>Originator</t>
        </is>
      </c>
      <c r="M277" t="inlineStr">
        <is>
          <t>Glaxo Saudi Arabia Ltd.</t>
        </is>
      </c>
      <c r="N277" t="inlineStr">
        <is>
          <t>Saudi International Trading Company LTD</t>
        </is>
      </c>
      <c r="O277" t="inlineStr">
        <is>
          <t>1310222734</t>
        </is>
      </c>
    </row>
    <row r="278">
      <c r="A278" t="inlineStr">
        <is>
          <t>J05AX</t>
        </is>
      </c>
      <c r="B278" t="inlineStr">
        <is>
          <t>Other antivirals</t>
        </is>
      </c>
      <c r="C278" t="inlineStr">
        <is>
          <t>LETERMOVIR</t>
        </is>
      </c>
      <c r="D278" t="inlineStr">
        <is>
          <t>PREVYMIS</t>
        </is>
      </c>
      <c r="E278" t="inlineStr">
        <is>
          <t>240</t>
        </is>
      </c>
      <c r="F278" t="inlineStr">
        <is>
          <t>mg</t>
        </is>
      </c>
      <c r="G278" t="inlineStr">
        <is>
          <t>Film-coated tablet</t>
        </is>
      </c>
      <c r="H278" t="n">
        <v>28</v>
      </c>
      <c r="I278" t="n">
        <v>20693.5</v>
      </c>
      <c r="J278" s="5">
        <f>IF(H278&gt;0,I278/H278,"")</f>
        <v/>
      </c>
      <c r="K278" s="5">
        <f>IF(J278="","",J278/Inputs!$B$1)</f>
        <v/>
      </c>
      <c r="L278" t="inlineStr">
        <is>
          <t>MSD</t>
        </is>
      </c>
      <c r="M278" t="inlineStr">
        <is>
          <t>MERCK SHARP &amp; DOHME</t>
        </is>
      </c>
      <c r="N278" t="inlineStr">
        <is>
          <t>ALNAGHI COMPANY</t>
        </is>
      </c>
      <c r="O278" t="inlineStr">
        <is>
          <t>0906210772</t>
        </is>
      </c>
    </row>
    <row r="279">
      <c r="A279" t="inlineStr">
        <is>
          <t>J05AX</t>
        </is>
      </c>
      <c r="B279" t="inlineStr">
        <is>
          <t>Other antivirals</t>
        </is>
      </c>
      <c r="C279" t="inlineStr">
        <is>
          <t>LETERMOVIR</t>
        </is>
      </c>
      <c r="D279" t="inlineStr">
        <is>
          <t>PREVYMIS</t>
        </is>
      </c>
      <c r="E279" t="inlineStr">
        <is>
          <t>20</t>
        </is>
      </c>
      <c r="F279" t="inlineStr">
        <is>
          <t>mg/ml</t>
        </is>
      </c>
      <c r="G279" t="inlineStr">
        <is>
          <t>Concentrate for solution for infusion</t>
        </is>
      </c>
      <c r="H279" t="n">
        <v>1</v>
      </c>
      <c r="I279" t="n">
        <v>884.95</v>
      </c>
      <c r="J279" s="5">
        <f>IF(H279&gt;0,I279/H279,"")</f>
        <v/>
      </c>
      <c r="K279" s="5">
        <f>IF(J279="","",J279/Inputs!$B$1)</f>
        <v/>
      </c>
      <c r="L279" t="inlineStr">
        <is>
          <t>MSD</t>
        </is>
      </c>
      <c r="M279" t="inlineStr">
        <is>
          <t>Merck Sharp &amp; Dohme B.V</t>
        </is>
      </c>
      <c r="N279" t="inlineStr">
        <is>
          <t>ALNAGHI COMPANY</t>
        </is>
      </c>
      <c r="O279" t="inlineStr">
        <is>
          <t>2108210958</t>
        </is>
      </c>
    </row>
    <row r="280">
      <c r="A280" t="inlineStr">
        <is>
          <t>J05AX</t>
        </is>
      </c>
      <c r="B280" t="inlineStr">
        <is>
          <t>Other antivirals</t>
        </is>
      </c>
      <c r="C280" t="inlineStr">
        <is>
          <t>LETERMOVIR</t>
        </is>
      </c>
      <c r="D280" t="inlineStr">
        <is>
          <t>PREVYMIS</t>
        </is>
      </c>
      <c r="E280" t="inlineStr">
        <is>
          <t>480</t>
        </is>
      </c>
      <c r="F280" t="inlineStr">
        <is>
          <t>mg</t>
        </is>
      </c>
      <c r="G280" t="inlineStr">
        <is>
          <t>Concentrate for solution for infusion</t>
        </is>
      </c>
      <c r="H280" t="n">
        <v>1</v>
      </c>
      <c r="I280" t="n">
        <v>1452</v>
      </c>
      <c r="J280" s="5">
        <f>IF(H280&gt;0,I280/H280,"")</f>
        <v/>
      </c>
      <c r="K280" s="5">
        <f>IF(J280="","",J280/Inputs!$B$1)</f>
        <v/>
      </c>
      <c r="L280" t="inlineStr">
        <is>
          <t>MSD</t>
        </is>
      </c>
      <c r="M280" t="inlineStr">
        <is>
          <t>Merck Sharp &amp; Dohme B.V</t>
        </is>
      </c>
      <c r="N280" t="inlineStr">
        <is>
          <t>ALNAGHI COMPANY</t>
        </is>
      </c>
      <c r="O280" t="inlineStr">
        <is>
          <t>3005257500</t>
        </is>
      </c>
    </row>
    <row r="281">
      <c r="A281" t="inlineStr">
        <is>
          <t>J05AX</t>
        </is>
      </c>
      <c r="B281" t="inlineStr">
        <is>
          <t>Other antivirals</t>
        </is>
      </c>
      <c r="C281" t="inlineStr">
        <is>
          <t>LETERMOVIR</t>
        </is>
      </c>
      <c r="D281" t="inlineStr">
        <is>
          <t>PREVYMIS</t>
        </is>
      </c>
      <c r="E281" t="inlineStr">
        <is>
          <t>480</t>
        </is>
      </c>
      <c r="F281" t="inlineStr">
        <is>
          <t>mg</t>
        </is>
      </c>
      <c r="G281" t="inlineStr">
        <is>
          <t>Film-coated tablet</t>
        </is>
      </c>
      <c r="H281" t="n">
        <v>28</v>
      </c>
      <c r="I281" t="n">
        <v>40656</v>
      </c>
      <c r="J281" s="5">
        <f>IF(H281&gt;0,I281/H281,"")</f>
        <v/>
      </c>
      <c r="K281" s="5">
        <f>IF(J281="","",J281/Inputs!$B$1)</f>
        <v/>
      </c>
      <c r="L281" t="inlineStr">
        <is>
          <t>MSD</t>
        </is>
      </c>
      <c r="M281" t="inlineStr">
        <is>
          <t>MERCK SHARP &amp; DOHME</t>
        </is>
      </c>
      <c r="N281" t="inlineStr">
        <is>
          <t>ALNAGHI COMPANY</t>
        </is>
      </c>
      <c r="O281" t="inlineStr">
        <is>
          <t>2808258126</t>
        </is>
      </c>
    </row>
    <row r="282">
      <c r="A282" t="inlineStr">
        <is>
          <t>J05AX</t>
        </is>
      </c>
      <c r="B282" t="inlineStr">
        <is>
          <t>Other antivirals</t>
        </is>
      </c>
      <c r="C282" t="inlineStr">
        <is>
          <t>RALTEGRAVIR</t>
        </is>
      </c>
      <c r="D282" t="inlineStr">
        <is>
          <t>Raltavir</t>
        </is>
      </c>
      <c r="E282" t="inlineStr">
        <is>
          <t>400</t>
        </is>
      </c>
      <c r="F282" t="inlineStr">
        <is>
          <t>mg</t>
        </is>
      </c>
      <c r="G282" t="inlineStr">
        <is>
          <t>Film-coated tablet</t>
        </is>
      </c>
      <c r="H282" t="n">
        <v>60</v>
      </c>
      <c r="I282" t="n">
        <v>1567.8</v>
      </c>
      <c r="J282" s="5">
        <f>IF(H282&gt;0,I282/H282,"")</f>
        <v/>
      </c>
      <c r="K282" s="5">
        <f>IF(J282="","",J282/Inputs!$B$1)</f>
        <v/>
      </c>
      <c r="L282" t="inlineStr">
        <is>
          <t>Generic or other</t>
        </is>
      </c>
      <c r="M282" t="inlineStr">
        <is>
          <t>Saudi Amarox</t>
        </is>
      </c>
      <c r="N282" t="inlineStr">
        <is>
          <t>Saudi Amarox</t>
        </is>
      </c>
      <c r="O282" t="inlineStr">
        <is>
          <t>2007257775</t>
        </is>
      </c>
    </row>
    <row r="283">
      <c r="A283" t="inlineStr">
        <is>
          <t>J05AX</t>
        </is>
      </c>
      <c r="B283" t="inlineStr">
        <is>
          <t>Other antivirals</t>
        </is>
      </c>
      <c r="C283" t="inlineStr">
        <is>
          <t>RALTEGRAVIR</t>
        </is>
      </c>
      <c r="D283" t="inlineStr">
        <is>
          <t>ISENTRESS 600MG F.C.TABLET</t>
        </is>
      </c>
      <c r="E283" t="inlineStr">
        <is>
          <t>600</t>
        </is>
      </c>
      <c r="F283" t="inlineStr">
        <is>
          <t>mg</t>
        </is>
      </c>
      <c r="G283" t="inlineStr">
        <is>
          <t>Film-coated tablet</t>
        </is>
      </c>
      <c r="H283" t="n">
        <v>60</v>
      </c>
      <c r="I283" t="n">
        <v>1679.95</v>
      </c>
      <c r="J283" s="5">
        <f>IF(H283&gt;0,I283/H283,"")</f>
        <v/>
      </c>
      <c r="K283" s="5">
        <f>IF(J283="","",J283/Inputs!$B$1)</f>
        <v/>
      </c>
      <c r="L283" t="inlineStr">
        <is>
          <t>MSD</t>
        </is>
      </c>
      <c r="M283" t="inlineStr">
        <is>
          <t>MERCK SHARP &amp; DOHME LIMITED</t>
        </is>
      </c>
      <c r="N283" t="inlineStr">
        <is>
          <t>ALNAGHI COMPANY</t>
        </is>
      </c>
      <c r="O283" t="inlineStr">
        <is>
          <t>2108258088</t>
        </is>
      </c>
    </row>
    <row r="284">
      <c r="A284" t="inlineStr">
        <is>
          <t>J07AL</t>
        </is>
      </c>
      <c r="B284" t="inlineStr">
        <is>
          <t>Pneumococcal vaccines</t>
        </is>
      </c>
      <c r="C284" t="inlineStr">
        <is>
          <t>Pneumococcal vaccines</t>
        </is>
      </c>
      <c r="D284" t="inlineStr">
        <is>
          <t>Pneumovax 23 Pneumococcal Vaccine Polyvalent</t>
        </is>
      </c>
      <c r="E284" t="inlineStr">
        <is>
          <t>50</t>
        </is>
      </c>
      <c r="F284" t="inlineStr">
        <is>
          <t>µ/ml</t>
        </is>
      </c>
      <c r="G284" t="inlineStr">
        <is>
          <t>Solution for injection</t>
        </is>
      </c>
      <c r="H284" t="n">
        <v>1</v>
      </c>
      <c r="I284" t="n">
        <v>135.5</v>
      </c>
      <c r="J284" s="5">
        <f>IF(H284&gt;0,I284/H284,"")</f>
        <v/>
      </c>
      <c r="K284" s="5">
        <f>IF(J284="","",J284/Inputs!$B$1)</f>
        <v/>
      </c>
      <c r="L284" t="inlineStr">
        <is>
          <t>MSD</t>
        </is>
      </c>
      <c r="M284" t="inlineStr">
        <is>
          <t>MERCK SHARP AND DOHME LLC</t>
        </is>
      </c>
      <c r="N284" t="inlineStr">
        <is>
          <t>Farouk, Maamoun Tamer &amp; CO</t>
        </is>
      </c>
      <c r="O284" t="inlineStr">
        <is>
          <t>2910246125</t>
        </is>
      </c>
    </row>
    <row r="285">
      <c r="A285" t="inlineStr">
        <is>
          <t>J07AL</t>
        </is>
      </c>
      <c r="B285" t="inlineStr">
        <is>
          <t>Pneumococcal vaccines</t>
        </is>
      </c>
      <c r="C285" t="inlineStr">
        <is>
          <t>Pneumococcal vaccines</t>
        </is>
      </c>
      <c r="D285" t="inlineStr">
        <is>
          <t>SYNFLORIX VACCINE</t>
        </is>
      </c>
      <c r="E285" t="inlineStr">
        <is>
          <t>0.5</t>
        </is>
      </c>
      <c r="F285" t="inlineStr">
        <is>
          <t>ml</t>
        </is>
      </c>
      <c r="G285" t="inlineStr">
        <is>
          <t>Suspension for injection</t>
        </is>
      </c>
      <c r="H285" t="n">
        <v>1</v>
      </c>
      <c r="I285" t="n">
        <v>165.5</v>
      </c>
      <c r="J285" s="5">
        <f>IF(H285&gt;0,I285/H285,"")</f>
        <v/>
      </c>
      <c r="K285" s="5">
        <f>IF(J285="","",J285/Inputs!$B$1)</f>
        <v/>
      </c>
      <c r="L285" t="inlineStr">
        <is>
          <t>Originator</t>
        </is>
      </c>
      <c r="M285" t="inlineStr">
        <is>
          <t>GLAXO SAUDI ARABIA</t>
        </is>
      </c>
      <c r="N285" t="inlineStr">
        <is>
          <t>Saudi International Trading Company LTD</t>
        </is>
      </c>
      <c r="O285" t="inlineStr">
        <is>
          <t>0109258138</t>
        </is>
      </c>
    </row>
    <row r="286">
      <c r="A286" t="inlineStr">
        <is>
          <t>J07AL</t>
        </is>
      </c>
      <c r="B286" t="inlineStr">
        <is>
          <t>Pneumococcal vaccines</t>
        </is>
      </c>
      <c r="C286" t="inlineStr">
        <is>
          <t>Pneumococcal vaccines</t>
        </is>
      </c>
      <c r="D286" t="inlineStr">
        <is>
          <t>PREVENAR 13 PRE-FILLED SYRINGE VACCINE</t>
        </is>
      </c>
      <c r="E286" t="inlineStr">
        <is>
          <t>2.2,2.2,2.2,2.2,2.2,4.4,2.2,2.2,2.2,2.2,2.2,2.2,2.2</t>
        </is>
      </c>
      <c r="F286" t="inlineStr">
        <is>
          <t>µg</t>
        </is>
      </c>
      <c r="G286" t="inlineStr">
        <is>
          <t>Suspension for injection</t>
        </is>
      </c>
      <c r="H286" t="n">
        <v>1</v>
      </c>
      <c r="I286" t="n">
        <v>245.85</v>
      </c>
      <c r="J286" s="5">
        <f>IF(H286&gt;0,I286/H286,"")</f>
        <v/>
      </c>
      <c r="K286" s="5">
        <f>IF(J286="","",J286/Inputs!$B$1)</f>
        <v/>
      </c>
      <c r="L286" t="inlineStr">
        <is>
          <t>Originator</t>
        </is>
      </c>
      <c r="M286" t="inlineStr">
        <is>
          <t>Pfizer Europe MA EEIG</t>
        </is>
      </c>
      <c r="N286" t="inlineStr">
        <is>
          <t>Abdulrehman Algosaibi G.T.C.Pfizer Saudi Trading</t>
        </is>
      </c>
      <c r="O286" t="inlineStr">
        <is>
          <t>1303257045</t>
        </is>
      </c>
    </row>
    <row r="287">
      <c r="A287" t="inlineStr">
        <is>
          <t>J07AL</t>
        </is>
      </c>
      <c r="B287" t="inlineStr">
        <is>
          <t>Pneumococcal vaccines</t>
        </is>
      </c>
      <c r="C287" t="inlineStr">
        <is>
          <t>Pneumococcal vaccines</t>
        </is>
      </c>
      <c r="D287" t="inlineStr">
        <is>
          <t>Vaxneuvance</t>
        </is>
      </c>
      <c r="E287" t="inlineStr">
        <is>
          <t>64</t>
        </is>
      </c>
      <c r="F287" t="inlineStr">
        <is>
          <t>µ/ml</t>
        </is>
      </c>
      <c r="G287" t="inlineStr">
        <is>
          <t>Suspension for injection in pre-filled syringe</t>
        </is>
      </c>
      <c r="H287" t="n">
        <v>1</v>
      </c>
      <c r="I287" t="n">
        <v>270.45</v>
      </c>
      <c r="J287" s="5">
        <f>IF(H287&gt;0,I287/H287,"")</f>
        <v/>
      </c>
      <c r="K287" s="5">
        <f>IF(J287="","",J287/Inputs!$B$1)</f>
        <v/>
      </c>
      <c r="L287" t="inlineStr">
        <is>
          <t>MSD</t>
        </is>
      </c>
      <c r="M287" t="inlineStr">
        <is>
          <t>Merck Sharp &amp; Dohme B.V</t>
        </is>
      </c>
      <c r="N287" t="inlineStr">
        <is>
          <t>Farouk, Maamoun Tamer &amp; CO</t>
        </is>
      </c>
      <c r="O287" t="inlineStr">
        <is>
          <t>2208234020</t>
        </is>
      </c>
    </row>
    <row r="288">
      <c r="A288" t="inlineStr">
        <is>
          <t>J07AL</t>
        </is>
      </c>
      <c r="B288" t="inlineStr">
        <is>
          <t>Pneumococcal vaccines</t>
        </is>
      </c>
      <c r="C288" t="inlineStr">
        <is>
          <t>Pneumococcal vaccines</t>
        </is>
      </c>
      <c r="D288" t="inlineStr">
        <is>
          <t>PREVENAR 20</t>
        </is>
      </c>
      <c r="E288" t="inlineStr">
        <is>
          <t>2.2,4.4,51</t>
        </is>
      </c>
      <c r="F288" t="inlineStr">
        <is>
          <t>µg</t>
        </is>
      </c>
      <c r="G288" t="inlineStr">
        <is>
          <t>Suspension for injection</t>
        </is>
      </c>
      <c r="H288" t="n">
        <v>1</v>
      </c>
      <c r="I288" t="n">
        <v>270.45</v>
      </c>
      <c r="J288" s="5">
        <f>IF(H288&gt;0,I288/H288,"")</f>
        <v/>
      </c>
      <c r="K288" s="5">
        <f>IF(J288="","",J288/Inputs!$B$1)</f>
        <v/>
      </c>
      <c r="L288" t="inlineStr">
        <is>
          <t>Originator</t>
        </is>
      </c>
      <c r="M288" t="inlineStr">
        <is>
          <t>Pharma Pharmaceutical Industries &amp; Biological Products (PPI)</t>
        </is>
      </c>
      <c r="N288" t="inlineStr">
        <is>
          <t>Pfizer Saudi TradingAbdulrehman Algosaibi G.T.C.</t>
        </is>
      </c>
      <c r="O288" t="inlineStr">
        <is>
          <t>0301244664</t>
        </is>
      </c>
    </row>
    <row r="289">
      <c r="A289" t="inlineStr">
        <is>
          <t>J07AL</t>
        </is>
      </c>
      <c r="B289" t="inlineStr">
        <is>
          <t>Pneumococcal vaccines</t>
        </is>
      </c>
      <c r="C289" t="inlineStr">
        <is>
          <t>Pneumococcal vaccines</t>
        </is>
      </c>
      <c r="D289" t="inlineStr">
        <is>
          <t>PREVENAR 20</t>
        </is>
      </c>
      <c r="E289" t="inlineStr">
        <is>
          <t>2.2,4.4,51</t>
        </is>
      </c>
      <c r="F289" t="inlineStr">
        <is>
          <t>µg</t>
        </is>
      </c>
      <c r="G289" t="inlineStr">
        <is>
          <t>Suspension for injection</t>
        </is>
      </c>
      <c r="H289" t="n">
        <v>10</v>
      </c>
      <c r="I289" t="n">
        <v>2704.5</v>
      </c>
      <c r="J289" s="5">
        <f>IF(H289&gt;0,I289/H289,"")</f>
        <v/>
      </c>
      <c r="K289" s="5">
        <f>IF(J289="","",J289/Inputs!$B$1)</f>
        <v/>
      </c>
      <c r="L289" t="inlineStr">
        <is>
          <t>Originator</t>
        </is>
      </c>
      <c r="M289" t="inlineStr">
        <is>
          <t>Pfizer Europe MA EEIG</t>
        </is>
      </c>
      <c r="N289" t="inlineStr">
        <is>
          <t>Pfizer Saudi TradingAbdulrehman Algosaibi G.T.C.</t>
        </is>
      </c>
      <c r="O289" t="inlineStr">
        <is>
          <t>0301244663</t>
        </is>
      </c>
    </row>
    <row r="290">
      <c r="A290" t="inlineStr">
        <is>
          <t>J07AL</t>
        </is>
      </c>
      <c r="B290" t="inlineStr">
        <is>
          <t>Pneumococcal vaccines</t>
        </is>
      </c>
      <c r="C290" t="inlineStr">
        <is>
          <t>Pneumococcal vaccines</t>
        </is>
      </c>
      <c r="D290" t="inlineStr">
        <is>
          <t>Capvaxive</t>
        </is>
      </c>
      <c r="E290" t="inlineStr">
        <is>
          <t>84</t>
        </is>
      </c>
      <c r="F290" t="inlineStr">
        <is>
          <t>µg</t>
        </is>
      </c>
      <c r="G290" t="inlineStr">
        <is>
          <t>Solution for injection</t>
        </is>
      </c>
      <c r="H290" t="n">
        <v>1</v>
      </c>
      <c r="I290" t="n">
        <v>382.3</v>
      </c>
      <c r="J290" s="5">
        <f>IF(H290&gt;0,I290/H290,"")</f>
        <v/>
      </c>
      <c r="K290" s="5">
        <f>IF(J290="","",J290/Inputs!$B$1)</f>
        <v/>
      </c>
      <c r="L290" t="inlineStr">
        <is>
          <t>MSD</t>
        </is>
      </c>
      <c r="M290" t="inlineStr">
        <is>
          <t>Merck Sharp &amp; Dohme B.V</t>
        </is>
      </c>
      <c r="N290" t="inlineStr">
        <is>
          <t>Farouk, Maamoun Tamer &amp; CO</t>
        </is>
      </c>
      <c r="O290" t="inlineStr">
        <is>
          <t>1405269741</t>
        </is>
      </c>
    </row>
    <row r="291">
      <c r="A291" t="inlineStr">
        <is>
          <t>J07BC</t>
        </is>
      </c>
      <c r="B291" t="inlineStr">
        <is>
          <t>Hepatitis B vaccines</t>
        </is>
      </c>
      <c r="C291" t="inlineStr">
        <is>
          <t>Hepatitis B vaccines</t>
        </is>
      </c>
      <c r="D291" t="inlineStr">
        <is>
          <t>RECOMBIVAX HB</t>
        </is>
      </c>
      <c r="E291" t="inlineStr">
        <is>
          <t>10</t>
        </is>
      </c>
      <c r="F291" t="inlineStr">
        <is>
          <t>µg/ml</t>
        </is>
      </c>
      <c r="G291" t="inlineStr">
        <is>
          <t>Suspension for injection</t>
        </is>
      </c>
      <c r="H291" t="n">
        <v>1</v>
      </c>
      <c r="I291" t="n">
        <v>46.7</v>
      </c>
      <c r="J291" s="5">
        <f>IF(H291&gt;0,I291/H291,"")</f>
        <v/>
      </c>
      <c r="K291" s="5">
        <f>IF(J291="","",J291/Inputs!$B$1)</f>
        <v/>
      </c>
      <c r="L291" t="inlineStr">
        <is>
          <t>MSD</t>
        </is>
      </c>
      <c r="M291" t="inlineStr">
        <is>
          <t>MERCK SHARP AND DOHME LLC</t>
        </is>
      </c>
      <c r="N291" t="inlineStr">
        <is>
          <t>Farouk, Maamoun Tamer &amp; CO</t>
        </is>
      </c>
      <c r="O291" t="inlineStr">
        <is>
          <t>1807245600</t>
        </is>
      </c>
    </row>
    <row r="292">
      <c r="A292" t="inlineStr">
        <is>
          <t>J07BD</t>
        </is>
      </c>
      <c r="B292" t="inlineStr">
        <is>
          <t>Measles, mumps and rubella vaccines</t>
        </is>
      </c>
      <c r="C292" t="inlineStr">
        <is>
          <t>Measles, mumps and rubella vaccines</t>
        </is>
      </c>
      <c r="D292" t="inlineStr">
        <is>
          <t>Priorix</t>
        </is>
      </c>
      <c r="E292" t="inlineStr">
        <is>
          <t>103.0,103.7,103.0</t>
        </is>
      </c>
      <c r="F292" t="inlineStr">
        <is>
          <t>CCID50</t>
        </is>
      </c>
      <c r="G292" t="inlineStr">
        <is>
          <t>Powder and solvent for solution for injection</t>
        </is>
      </c>
      <c r="H292" t="n">
        <v>100</v>
      </c>
      <c r="I292" t="n">
        <v>4550.7</v>
      </c>
      <c r="J292" s="5">
        <f>IF(H292&gt;0,I292/H292,"")</f>
        <v/>
      </c>
      <c r="K292" s="5">
        <f>IF(J292="","",J292/Inputs!$B$1)</f>
        <v/>
      </c>
      <c r="L292" t="inlineStr">
        <is>
          <t>Originator</t>
        </is>
      </c>
      <c r="M292" t="inlineStr">
        <is>
          <t>GLAXO SAUDI ARABIA</t>
        </is>
      </c>
      <c r="N292" t="inlineStr">
        <is>
          <t>GLAXO SAUDI ARABIA</t>
        </is>
      </c>
      <c r="O292" t="inlineStr">
        <is>
          <t>2409258263</t>
        </is>
      </c>
    </row>
    <row r="293">
      <c r="A293" t="inlineStr">
        <is>
          <t>J07BD</t>
        </is>
      </c>
      <c r="B293" t="inlineStr">
        <is>
          <t>Measles, mumps and rubella vaccines</t>
        </is>
      </c>
      <c r="C293" t="inlineStr">
        <is>
          <t>Measles, mumps and rubella vaccines</t>
        </is>
      </c>
      <c r="D293" t="inlineStr">
        <is>
          <t>PRIORIX 0.5ML VIAL</t>
        </is>
      </c>
      <c r="E293" t="inlineStr">
        <is>
          <t>5011.87,1000,1000</t>
        </is>
      </c>
      <c r="F293" t="inlineStr">
        <is>
          <t>CCID50</t>
        </is>
      </c>
      <c r="G293" t="inlineStr">
        <is>
          <t>Powder and solvent for solution for injection</t>
        </is>
      </c>
      <c r="H293" t="n">
        <v>1</v>
      </c>
      <c r="I293" t="n">
        <v>51.9</v>
      </c>
      <c r="J293" s="5">
        <f>IF(H293&gt;0,I293/H293,"")</f>
        <v/>
      </c>
      <c r="K293" s="5">
        <f>IF(J293="","",J293/Inputs!$B$1)</f>
        <v/>
      </c>
      <c r="L293" t="inlineStr">
        <is>
          <t>Originator</t>
        </is>
      </c>
      <c r="M293" t="inlineStr">
        <is>
          <t>GLAXO SAUDI ARABIA</t>
        </is>
      </c>
      <c r="N293" t="inlineStr">
        <is>
          <t>Saudi International Trading Company LTD</t>
        </is>
      </c>
      <c r="O293" t="inlineStr">
        <is>
          <t>0109258139</t>
        </is>
      </c>
    </row>
    <row r="294">
      <c r="A294" t="inlineStr">
        <is>
          <t>J07BD</t>
        </is>
      </c>
      <c r="B294" t="inlineStr">
        <is>
          <t>Measles, mumps and rubella vaccines</t>
        </is>
      </c>
      <c r="C294" t="inlineStr">
        <is>
          <t>Measles, mumps and rubella vaccines</t>
        </is>
      </c>
      <c r="D294" t="inlineStr">
        <is>
          <t>M.M.R II 0.5ML VACCINE+ 0.7ML DILUENT</t>
        </is>
      </c>
      <c r="E294" t="inlineStr">
        <is>
          <t>1000,12.5,1000</t>
        </is>
      </c>
      <c r="F294" t="inlineStr">
        <is>
          <t>CCID50</t>
        </is>
      </c>
      <c r="G294" t="inlineStr">
        <is>
          <t>Powder and solvent for suspension for injection</t>
        </is>
      </c>
      <c r="H294" t="n">
        <v>1</v>
      </c>
      <c r="I294" t="n">
        <v>51.9</v>
      </c>
      <c r="J294" s="5">
        <f>IF(H294&gt;0,I294/H294,"")</f>
        <v/>
      </c>
      <c r="K294" s="5">
        <f>IF(J294="","",J294/Inputs!$B$1)</f>
        <v/>
      </c>
      <c r="L294" t="inlineStr">
        <is>
          <t>MSD</t>
        </is>
      </c>
      <c r="M294" t="inlineStr">
        <is>
          <t>MERCK SHARP AND DOHME LLC</t>
        </is>
      </c>
      <c r="N294" t="inlineStr">
        <is>
          <t>Farouk, Maamoun Tamer &amp; CO</t>
        </is>
      </c>
      <c r="O294" t="inlineStr">
        <is>
          <t>0208245719</t>
        </is>
      </c>
    </row>
    <row r="295">
      <c r="A295" t="inlineStr">
        <is>
          <t>J07BH</t>
        </is>
      </c>
      <c r="B295" t="inlineStr">
        <is>
          <t>Rotavirus vaccines</t>
        </is>
      </c>
      <c r="C295" t="inlineStr">
        <is>
          <t>Rotavirus vaccines</t>
        </is>
      </c>
      <c r="D295" t="inlineStr">
        <is>
          <t>ROTATEQ ORAL VACCINE</t>
        </is>
      </c>
      <c r="E295" t="inlineStr">
        <is>
          <t>nlt2.2*106,nlt2.8*106,nlt2.2*106,nlt2.0*106,nlt2.3*106</t>
        </is>
      </c>
      <c r="F295" t="inlineStr">
        <is>
          <t>IU</t>
        </is>
      </c>
      <c r="G295" t="inlineStr">
        <is>
          <t>Oral solution</t>
        </is>
      </c>
      <c r="H295" t="n">
        <v>1</v>
      </c>
      <c r="I295" t="n">
        <v>199.55</v>
      </c>
      <c r="J295" s="5">
        <f>IF(H295&gt;0,I295/H295,"")</f>
        <v/>
      </c>
      <c r="K295" s="5">
        <f>IF(J295="","",J295/Inputs!$B$1)</f>
        <v/>
      </c>
      <c r="L295" t="inlineStr">
        <is>
          <t>MSD</t>
        </is>
      </c>
      <c r="M295" t="inlineStr">
        <is>
          <t>MERCK SHARP &amp; DOHME</t>
        </is>
      </c>
      <c r="N295" t="inlineStr">
        <is>
          <t>Farouk, Maamoun Tamer &amp; CO</t>
        </is>
      </c>
      <c r="O295" t="inlineStr">
        <is>
          <t>0309258153</t>
        </is>
      </c>
    </row>
    <row r="296">
      <c r="A296" t="inlineStr">
        <is>
          <t>J07BH</t>
        </is>
      </c>
      <c r="B296" t="inlineStr">
        <is>
          <t>Rotavirus vaccines</t>
        </is>
      </c>
      <c r="C296" t="inlineStr">
        <is>
          <t>Rotavirus vaccines</t>
        </is>
      </c>
      <c r="D296" t="inlineStr">
        <is>
          <t>ROTARIX ORAL SUSPENSION VACCINE</t>
        </is>
      </c>
      <c r="E296" t="inlineStr">
        <is>
          <t>1000000</t>
        </is>
      </c>
      <c r="F296" t="inlineStr">
        <is>
          <t>CCID50</t>
        </is>
      </c>
      <c r="G296" t="inlineStr">
        <is>
          <t>Oral suspension</t>
        </is>
      </c>
      <c r="H296" t="n">
        <v>1</v>
      </c>
      <c r="I296" t="n">
        <v>200.65</v>
      </c>
      <c r="J296" s="5">
        <f>IF(H296&gt;0,I296/H296,"")</f>
        <v/>
      </c>
      <c r="K296" s="5">
        <f>IF(J296="","",J296/Inputs!$B$1)</f>
        <v/>
      </c>
      <c r="L296" t="inlineStr">
        <is>
          <t>Originator</t>
        </is>
      </c>
      <c r="M296" t="inlineStr">
        <is>
          <t>GLAXO SAUDI ARABIA</t>
        </is>
      </c>
      <c r="N296" t="inlineStr">
        <is>
          <t>GLAXO SAUDI ARABIA</t>
        </is>
      </c>
      <c r="O296" t="inlineStr">
        <is>
          <t>0508257935</t>
        </is>
      </c>
    </row>
    <row r="297">
      <c r="A297" t="inlineStr">
        <is>
          <t>J07BK</t>
        </is>
      </c>
      <c r="B297" t="inlineStr">
        <is>
          <t>Varicella and zoster vaccines</t>
        </is>
      </c>
      <c r="C297" t="inlineStr">
        <is>
          <t>Varicella and zoster vaccines</t>
        </is>
      </c>
      <c r="D297" t="inlineStr">
        <is>
          <t>VARIVAX 1350 PFU VIAL</t>
        </is>
      </c>
      <c r="E297" t="inlineStr">
        <is>
          <t>1350</t>
        </is>
      </c>
      <c r="F297" t="inlineStr">
        <is>
          <t>PFU/ml</t>
        </is>
      </c>
      <c r="G297" t="inlineStr">
        <is>
          <t>Powder and solvent for suspension for injection</t>
        </is>
      </c>
      <c r="H297" t="n">
        <v>1</v>
      </c>
      <c r="I297" t="n">
        <v>152.1</v>
      </c>
      <c r="J297" s="5">
        <f>IF(H297&gt;0,I297/H297,"")</f>
        <v/>
      </c>
      <c r="K297" s="5">
        <f>IF(J297="","",J297/Inputs!$B$1)</f>
        <v/>
      </c>
      <c r="L297" t="inlineStr">
        <is>
          <t>MSD</t>
        </is>
      </c>
      <c r="M297" t="inlineStr">
        <is>
          <t>MERCK SHARP &amp; DOHME</t>
        </is>
      </c>
      <c r="N297" t="inlineStr">
        <is>
          <t>Farouk, Maamoun Tamer &amp; CO</t>
        </is>
      </c>
      <c r="O297" t="inlineStr">
        <is>
          <t>1405245287</t>
        </is>
      </c>
    </row>
    <row r="298">
      <c r="A298" t="inlineStr">
        <is>
          <t>J07BK</t>
        </is>
      </c>
      <c r="B298" t="inlineStr">
        <is>
          <t>Varicella and zoster vaccines</t>
        </is>
      </c>
      <c r="C298" t="inlineStr">
        <is>
          <t>Varicella and zoster vaccines</t>
        </is>
      </c>
      <c r="D298" t="inlineStr">
        <is>
          <t>VARILRIX 2000 PFU -0.5ML VIAL</t>
        </is>
      </c>
      <c r="E298" t="inlineStr">
        <is>
          <t>1995.26</t>
        </is>
      </c>
      <c r="F298" t="inlineStr">
        <is>
          <t>PFU</t>
        </is>
      </c>
      <c r="G298" t="inlineStr">
        <is>
          <t>Solution for injection</t>
        </is>
      </c>
      <c r="H298" t="n">
        <v>1</v>
      </c>
      <c r="I298" t="n">
        <v>166.6</v>
      </c>
      <c r="J298" s="5">
        <f>IF(H298&gt;0,I298/H298,"")</f>
        <v/>
      </c>
      <c r="K298" s="5">
        <f>IF(J298="","",J298/Inputs!$B$1)</f>
        <v/>
      </c>
      <c r="L298" t="inlineStr">
        <is>
          <t>Originator</t>
        </is>
      </c>
      <c r="M298" t="inlineStr">
        <is>
          <t>GLAXO SAUDI ARABIA</t>
        </is>
      </c>
      <c r="N298" t="inlineStr">
        <is>
          <t>Saudi International Trading Company LTD</t>
        </is>
      </c>
      <c r="O298" t="inlineStr">
        <is>
          <t>2810258492</t>
        </is>
      </c>
    </row>
    <row r="299">
      <c r="A299" t="inlineStr">
        <is>
          <t>J07BK</t>
        </is>
      </c>
      <c r="B299" t="inlineStr">
        <is>
          <t>Varicella and zoster vaccines</t>
        </is>
      </c>
      <c r="C299" t="inlineStr">
        <is>
          <t>Varicella and zoster vaccines</t>
        </is>
      </c>
      <c r="D299" t="inlineStr">
        <is>
          <t>SHINGRIX</t>
        </is>
      </c>
      <c r="E299" t="inlineStr">
        <is>
          <t>50</t>
        </is>
      </c>
      <c r="F299" t="inlineStr">
        <is>
          <t>µg</t>
        </is>
      </c>
      <c r="G299" t="inlineStr">
        <is>
          <t>Powder for suspension for injection</t>
        </is>
      </c>
      <c r="H299" t="n">
        <v>1</v>
      </c>
      <c r="I299" t="n">
        <v>774.9</v>
      </c>
      <c r="J299" s="5">
        <f>IF(H299&gt;0,I299/H299,"")</f>
        <v/>
      </c>
      <c r="K299" s="5">
        <f>IF(J299="","",J299/Inputs!$B$1)</f>
        <v/>
      </c>
      <c r="L299" t="inlineStr">
        <is>
          <t>Originator</t>
        </is>
      </c>
      <c r="M299" t="inlineStr">
        <is>
          <t>Glaxo Saudi Arabia Ltd.</t>
        </is>
      </c>
      <c r="N299" t="inlineStr">
        <is>
          <t>Saudi International Trading Company LTDGLAXO SAUDI ARABIA</t>
        </is>
      </c>
      <c r="O299" t="inlineStr">
        <is>
          <t>0703221823</t>
        </is>
      </c>
    </row>
    <row r="300">
      <c r="A300" t="inlineStr">
        <is>
          <t>J07BM</t>
        </is>
      </c>
      <c r="B300" t="inlineStr">
        <is>
          <t>HPV vaccines</t>
        </is>
      </c>
      <c r="C300" t="inlineStr">
        <is>
          <t>HPV vaccines</t>
        </is>
      </c>
      <c r="D300" t="inlineStr">
        <is>
          <t>CERVARIX VACCINE</t>
        </is>
      </c>
      <c r="E300" t="inlineStr">
        <is>
          <t>20,20</t>
        </is>
      </c>
      <c r="F300" t="inlineStr">
        <is>
          <t>µg</t>
        </is>
      </c>
      <c r="G300" t="inlineStr">
        <is>
          <t>Suspension for injection</t>
        </is>
      </c>
      <c r="H300" t="n">
        <v>1</v>
      </c>
      <c r="I300" t="n">
        <v>266.25</v>
      </c>
      <c r="J300" s="5">
        <f>IF(H300&gt;0,I300/H300,"")</f>
        <v/>
      </c>
      <c r="K300" s="5">
        <f>IF(J300="","",J300/Inputs!$B$1)</f>
        <v/>
      </c>
      <c r="L300" t="inlineStr">
        <is>
          <t>Originator</t>
        </is>
      </c>
      <c r="M300" t="inlineStr">
        <is>
          <t>GLAXO SAUDI ARABIA</t>
        </is>
      </c>
      <c r="N300" t="inlineStr">
        <is>
          <t>Saudi International Trading Company LTD</t>
        </is>
      </c>
      <c r="O300" t="inlineStr">
        <is>
          <t>1612200341</t>
        </is>
      </c>
    </row>
    <row r="301">
      <c r="A301" t="inlineStr">
        <is>
          <t>J07BM</t>
        </is>
      </c>
      <c r="B301" t="inlineStr">
        <is>
          <t>HPV vaccines</t>
        </is>
      </c>
      <c r="C301" t="inlineStr">
        <is>
          <t>HPV vaccines</t>
        </is>
      </c>
      <c r="D301" t="inlineStr">
        <is>
          <t>Gardasil 9</t>
        </is>
      </c>
      <c r="E301" t="inlineStr">
        <is>
          <t>30,40,60,40,20,20,20,20,20</t>
        </is>
      </c>
      <c r="F301" t="inlineStr">
        <is>
          <t>µg</t>
        </is>
      </c>
      <c r="G301" t="inlineStr">
        <is>
          <t>Suspension for injection</t>
        </is>
      </c>
      <c r="H301" t="n">
        <v>1</v>
      </c>
      <c r="I301" t="n">
        <v>605</v>
      </c>
      <c r="J301" s="5">
        <f>IF(H301&gt;0,I301/H301,"")</f>
        <v/>
      </c>
      <c r="K301" s="5">
        <f>IF(J301="","",J301/Inputs!$B$1)</f>
        <v/>
      </c>
      <c r="L301" t="inlineStr">
        <is>
          <t>MSD</t>
        </is>
      </c>
      <c r="M301" t="inlineStr">
        <is>
          <t>MERCK SHARP AND DOHME LLC</t>
        </is>
      </c>
      <c r="N301" t="inlineStr">
        <is>
          <t>Farouk, Maamoun Tamer &amp; CO</t>
        </is>
      </c>
      <c r="O301" t="inlineStr">
        <is>
          <t>2901244808</t>
        </is>
      </c>
    </row>
    <row r="302">
      <c r="A302" t="inlineStr">
        <is>
          <t>L01FF</t>
        </is>
      </c>
      <c r="B302" t="inlineStr">
        <is>
          <t>PD-1 / PD-L1 antibodies</t>
        </is>
      </c>
      <c r="C302" t="inlineStr">
        <is>
          <t>DOSTARLIMAB</t>
        </is>
      </c>
      <c r="D302" t="inlineStr">
        <is>
          <t>Jemperli</t>
        </is>
      </c>
      <c r="E302" t="inlineStr">
        <is>
          <t>50</t>
        </is>
      </c>
      <c r="F302" t="inlineStr">
        <is>
          <t>mg/ml</t>
        </is>
      </c>
      <c r="G302" t="inlineStr">
        <is>
          <t>Concentrate for solution for infusion</t>
        </is>
      </c>
      <c r="H302" t="n">
        <v>1</v>
      </c>
      <c r="I302" t="n">
        <v>27974.2</v>
      </c>
      <c r="J302" s="5">
        <f>IF(H302&gt;0,I302/H302,"")</f>
        <v/>
      </c>
      <c r="K302" s="5">
        <f>IF(J302="","",J302/Inputs!$B$1)</f>
        <v/>
      </c>
      <c r="L302" t="inlineStr">
        <is>
          <t>Originator</t>
        </is>
      </c>
      <c r="M302" t="inlineStr">
        <is>
          <t>GLAXO SAUDI ARABIA</t>
        </is>
      </c>
      <c r="N302" t="inlineStr">
        <is>
          <t>Saudi International Trading Company LTDGLAXO SAUDI ARABIA</t>
        </is>
      </c>
      <c r="O302" t="inlineStr">
        <is>
          <t>0905245273</t>
        </is>
      </c>
    </row>
    <row r="303">
      <c r="A303" t="inlineStr">
        <is>
          <t>L01FF</t>
        </is>
      </c>
      <c r="B303" t="inlineStr">
        <is>
          <t>PD-1 / PD-L1 antibodies</t>
        </is>
      </c>
      <c r="C303" t="inlineStr">
        <is>
          <t>PEMBROLIZUMAB</t>
        </is>
      </c>
      <c r="D303" t="inlineStr">
        <is>
          <t>Keytruda</t>
        </is>
      </c>
      <c r="E303" t="inlineStr">
        <is>
          <t>165</t>
        </is>
      </c>
      <c r="F303" t="inlineStr">
        <is>
          <t>mg/ml</t>
        </is>
      </c>
      <c r="G303" t="inlineStr">
        <is>
          <t>Solution for injection</t>
        </is>
      </c>
      <c r="H303" t="n">
        <v>1</v>
      </c>
      <c r="I303" t="n">
        <v>29359.8</v>
      </c>
      <c r="J303" s="5">
        <f>IF(H303&gt;0,I303/H303,"")</f>
        <v/>
      </c>
      <c r="K303" s="5">
        <f>IF(J303="","",J303/Inputs!$B$1)</f>
        <v/>
      </c>
      <c r="L303" t="inlineStr">
        <is>
          <t>MSD</t>
        </is>
      </c>
      <c r="M303" t="inlineStr">
        <is>
          <t>Merck Sharp &amp; Dohme B.V</t>
        </is>
      </c>
      <c r="N303" t="inlineStr">
        <is>
          <t>Farouk, Maamoun Tamer &amp; CO</t>
        </is>
      </c>
      <c r="O303" t="inlineStr">
        <is>
          <t>2707260199</t>
        </is>
      </c>
    </row>
    <row r="304">
      <c r="A304" t="inlineStr">
        <is>
          <t>L01FF</t>
        </is>
      </c>
      <c r="B304" t="inlineStr">
        <is>
          <t>PD-1 / PD-L1 antibodies</t>
        </is>
      </c>
      <c r="C304" t="inlineStr">
        <is>
          <t>PEMBROLIZUMAB</t>
        </is>
      </c>
      <c r="D304" t="inlineStr">
        <is>
          <t>Keytruda</t>
        </is>
      </c>
      <c r="E304" t="inlineStr">
        <is>
          <t>165</t>
        </is>
      </c>
      <c r="F304" t="inlineStr">
        <is>
          <t>mg/ml</t>
        </is>
      </c>
      <c r="G304" t="inlineStr">
        <is>
          <t>Solution for injection</t>
        </is>
      </c>
      <c r="H304" t="n">
        <v>1</v>
      </c>
      <c r="I304" t="n">
        <v>58719.6</v>
      </c>
      <c r="J304" s="5">
        <f>IF(H304&gt;0,I304/H304,"")</f>
        <v/>
      </c>
      <c r="K304" s="5">
        <f>IF(J304="","",J304/Inputs!$B$1)</f>
        <v/>
      </c>
      <c r="L304" t="inlineStr">
        <is>
          <t>MSD</t>
        </is>
      </c>
      <c r="M304" t="inlineStr">
        <is>
          <t>Merck Sharp &amp; Dohme B.V</t>
        </is>
      </c>
      <c r="N304" t="inlineStr">
        <is>
          <t>Farouk, Maamoun Tamer &amp; CO</t>
        </is>
      </c>
      <c r="O304" t="inlineStr">
        <is>
          <t>2707260198</t>
        </is>
      </c>
    </row>
    <row r="305">
      <c r="A305" t="inlineStr">
        <is>
          <t>L01FF</t>
        </is>
      </c>
      <c r="B305" t="inlineStr">
        <is>
          <t>PD-1 / PD-L1 antibodies</t>
        </is>
      </c>
      <c r="C305" t="inlineStr"/>
      <c r="D305" t="inlineStr">
        <is>
          <t>Tevimbra</t>
        </is>
      </c>
      <c r="E305" t="inlineStr">
        <is>
          <t>10</t>
        </is>
      </c>
      <c r="F305" t="inlineStr">
        <is>
          <t>mg/ml</t>
        </is>
      </c>
      <c r="G305" t="inlineStr">
        <is>
          <t>Concentrate for solution for infusion</t>
        </is>
      </c>
      <c r="H305" t="n">
        <v>1</v>
      </c>
      <c r="I305" t="n">
        <v>10694.85</v>
      </c>
      <c r="J305" s="5">
        <f>IF(H305&gt;0,I305/H305,"")</f>
        <v/>
      </c>
      <c r="K305" s="5">
        <f>IF(J305="","",J305/Inputs!$B$1)</f>
        <v/>
      </c>
      <c r="L305" t="inlineStr">
        <is>
          <t>Generic or other</t>
        </is>
      </c>
      <c r="M305" t="inlineStr">
        <is>
          <t>BeiGene Switzerland GmbH</t>
        </is>
      </c>
      <c r="N305" t="inlineStr">
        <is>
          <t>Sanable Al Andalus Company For development and commercial investment</t>
        </is>
      </c>
      <c r="O305" t="inlineStr">
        <is>
          <t>2408260349</t>
        </is>
      </c>
    </row>
    <row r="306">
      <c r="A306" t="inlineStr">
        <is>
          <t>L01XC</t>
        </is>
      </c>
      <c r="B306" t="inlineStr"/>
      <c r="C306" t="inlineStr">
        <is>
          <t>ATEZOLIZUMAB</t>
        </is>
      </c>
      <c r="D306" t="inlineStr">
        <is>
          <t>TECENTRIQ 60 mg/ml Concentrate For Solution For Infusion</t>
        </is>
      </c>
      <c r="E306" t="inlineStr">
        <is>
          <t>60</t>
        </is>
      </c>
      <c r="F306" t="inlineStr">
        <is>
          <t>mg/ml</t>
        </is>
      </c>
      <c r="G306" t="inlineStr">
        <is>
          <t>Injection</t>
        </is>
      </c>
      <c r="H306" t="n">
        <v>1</v>
      </c>
      <c r="I306" t="n">
        <v>29065.25</v>
      </c>
      <c r="J306" s="5">
        <f>IF(H306&gt;0,I306/H306,"")</f>
        <v/>
      </c>
      <c r="K306" s="5">
        <f>IF(J306="","",J306/Inputs!$B$1)</f>
        <v/>
      </c>
      <c r="L306" t="inlineStr">
        <is>
          <t>Originator</t>
        </is>
      </c>
      <c r="M306" t="inlineStr">
        <is>
          <t>ROCHE</t>
        </is>
      </c>
      <c r="N306" t="inlineStr">
        <is>
          <t>ALNAGHI COMPANYRoche Products Saudi Arabia</t>
        </is>
      </c>
      <c r="O306" t="inlineStr">
        <is>
          <t>1709258231</t>
        </is>
      </c>
    </row>
    <row r="307">
      <c r="A307" t="inlineStr">
        <is>
          <t>L01XC</t>
        </is>
      </c>
      <c r="B307" t="inlineStr"/>
      <c r="C307" t="inlineStr">
        <is>
          <t>BELZUTIFAN</t>
        </is>
      </c>
      <c r="D307" t="inlineStr">
        <is>
          <t>Welireg</t>
        </is>
      </c>
      <c r="E307" t="inlineStr">
        <is>
          <t>40</t>
        </is>
      </c>
      <c r="F307" t="inlineStr">
        <is>
          <t>mg</t>
        </is>
      </c>
      <c r="G307" t="inlineStr">
        <is>
          <t>Film-coated tablet</t>
        </is>
      </c>
      <c r="H307" t="n">
        <v>90</v>
      </c>
      <c r="I307" t="n">
        <v>68062.5</v>
      </c>
      <c r="J307" s="5">
        <f>IF(H307&gt;0,I307/H307,"")</f>
        <v/>
      </c>
      <c r="K307" s="5">
        <f>IF(J307="","",J307/Inputs!$B$1)</f>
        <v/>
      </c>
      <c r="L307" t="inlineStr">
        <is>
          <t>MSD</t>
        </is>
      </c>
      <c r="M307" t="inlineStr">
        <is>
          <t>MERCK SHARP &amp; DOHME LIMITED</t>
        </is>
      </c>
      <c r="N307" t="inlineStr">
        <is>
          <t>Farouk, Maamoun Tamer &amp; CO</t>
        </is>
      </c>
      <c r="O307" t="inlineStr">
        <is>
          <t>2009234229</t>
        </is>
      </c>
    </row>
    <row r="308">
      <c r="A308" t="inlineStr">
        <is>
          <t>L01XC</t>
        </is>
      </c>
      <c r="B308" t="inlineStr"/>
      <c r="C308" t="inlineStr">
        <is>
          <t>DURVALUMAB</t>
        </is>
      </c>
      <c r="D308" t="inlineStr">
        <is>
          <t>IMFINZI 120 mg / 2.4 ml</t>
        </is>
      </c>
      <c r="E308" t="inlineStr">
        <is>
          <t>50</t>
        </is>
      </c>
      <c r="F308" t="inlineStr">
        <is>
          <t>mg/ml</t>
        </is>
      </c>
      <c r="G308" t="inlineStr">
        <is>
          <t>Solution for infusion</t>
        </is>
      </c>
      <c r="H308" t="n">
        <v>1</v>
      </c>
      <c r="I308" t="n">
        <v>2787.5</v>
      </c>
      <c r="J308" s="5">
        <f>IF(H308&gt;0,I308/H308,"")</f>
        <v/>
      </c>
      <c r="K308" s="5">
        <f>IF(J308="","",J308/Inputs!$B$1)</f>
        <v/>
      </c>
      <c r="L308" t="inlineStr">
        <is>
          <t>Originator</t>
        </is>
      </c>
      <c r="M308" t="inlineStr">
        <is>
          <t>AstraZeneca UK Limited</t>
        </is>
      </c>
      <c r="N308" t="inlineStr">
        <is>
          <t>Saudi International Trading Company LTDALNAGHI COMPANY</t>
        </is>
      </c>
      <c r="O308" t="inlineStr">
        <is>
          <t>0911211289</t>
        </is>
      </c>
    </row>
    <row r="309">
      <c r="A309" t="inlineStr">
        <is>
          <t>L01XC</t>
        </is>
      </c>
      <c r="B309" t="inlineStr"/>
      <c r="C309" t="inlineStr">
        <is>
          <t>DURVALUMAB</t>
        </is>
      </c>
      <c r="D309" t="inlineStr">
        <is>
          <t>IMFINZI 500 mg / 10 ml</t>
        </is>
      </c>
      <c r="E309" t="inlineStr">
        <is>
          <t>50</t>
        </is>
      </c>
      <c r="F309" t="inlineStr">
        <is>
          <t>mg/ml</t>
        </is>
      </c>
      <c r="G309" t="inlineStr">
        <is>
          <t>Solution for infusion</t>
        </is>
      </c>
      <c r="H309" t="n">
        <v>1</v>
      </c>
      <c r="I309" t="n">
        <v>11614.5</v>
      </c>
      <c r="J309" s="5">
        <f>IF(H309&gt;0,I309/H309,"")</f>
        <v/>
      </c>
      <c r="K309" s="5">
        <f>IF(J309="","",J309/Inputs!$B$1)</f>
        <v/>
      </c>
      <c r="L309" t="inlineStr">
        <is>
          <t>Originator</t>
        </is>
      </c>
      <c r="M309" t="inlineStr">
        <is>
          <t>AstraZeneca UK Limited</t>
        </is>
      </c>
      <c r="N309" t="inlineStr">
        <is>
          <t>Saudi International Trading Company LTDALNAGHI COMPANY</t>
        </is>
      </c>
      <c r="O309" t="inlineStr">
        <is>
          <t>0911211288</t>
        </is>
      </c>
    </row>
    <row r="310">
      <c r="A310" t="inlineStr">
        <is>
          <t>L01XC</t>
        </is>
      </c>
      <c r="B310" t="inlineStr"/>
      <c r="C310" t="inlineStr">
        <is>
          <t>PEMBROLIZUMAB</t>
        </is>
      </c>
      <c r="D310" t="inlineStr">
        <is>
          <t>KEYTRUDA 25 mg/ml Concentrate For Solution For Infusion</t>
        </is>
      </c>
      <c r="E310" t="inlineStr">
        <is>
          <t>25</t>
        </is>
      </c>
      <c r="F310" t="inlineStr">
        <is>
          <t>mg/ml</t>
        </is>
      </c>
      <c r="G310" t="inlineStr">
        <is>
          <t>Concentrate for solution for infusion</t>
        </is>
      </c>
      <c r="H310" t="n">
        <v>1</v>
      </c>
      <c r="I310" t="n">
        <v>14680</v>
      </c>
      <c r="J310" s="5">
        <f>IF(H310&gt;0,I310/H310,"")</f>
        <v/>
      </c>
      <c r="K310" s="5">
        <f>IF(J310="","",J310/Inputs!$B$1)</f>
        <v/>
      </c>
      <c r="L310" t="inlineStr">
        <is>
          <t>MSD</t>
        </is>
      </c>
      <c r="M310" t="inlineStr">
        <is>
          <t>MERCK SHARP &amp; DOHME</t>
        </is>
      </c>
      <c r="N310" t="inlineStr">
        <is>
          <t>Farouk, Maamoun Tamer &amp; CO</t>
        </is>
      </c>
      <c r="O310" t="inlineStr">
        <is>
          <t>2501233168</t>
        </is>
      </c>
    </row>
    <row r="311">
      <c r="A311" t="inlineStr">
        <is>
          <t>N02BE</t>
        </is>
      </c>
      <c r="B311" t="inlineStr"/>
      <c r="C311" t="inlineStr">
        <is>
          <t>LINAGLIPTIN</t>
        </is>
      </c>
      <c r="D311" t="inlineStr">
        <is>
          <t>GLYXAMBI</t>
        </is>
      </c>
      <c r="E311" t="inlineStr">
        <is>
          <t>25,5</t>
        </is>
      </c>
      <c r="F311" t="inlineStr">
        <is>
          <t>mg</t>
        </is>
      </c>
      <c r="G311" t="inlineStr">
        <is>
          <t>Tablet</t>
        </is>
      </c>
      <c r="H311" t="n">
        <v>20</v>
      </c>
      <c r="I311" t="n">
        <v>226.05</v>
      </c>
      <c r="J311" s="5">
        <f>IF(H311&gt;0,I311/H311,"")</f>
        <v/>
      </c>
      <c r="K311" s="5">
        <f>IF(J311="","",J311/Inputs!$B$1)</f>
        <v/>
      </c>
      <c r="L311" t="inlineStr">
        <is>
          <t>Generic or other</t>
        </is>
      </c>
      <c r="M311" t="inlineStr">
        <is>
          <t>National Pharmaceutical Industries Co SAOC</t>
        </is>
      </c>
      <c r="N311" t="inlineStr">
        <is>
          <t>ZIMMO TRADING ESTABLISHMENTEBRAHIM M. ALMANA &amp; BROS. CO.</t>
        </is>
      </c>
      <c r="O311" t="inlineStr">
        <is>
          <t>2710246118</t>
        </is>
      </c>
    </row>
    <row r="312">
      <c r="A312" t="inlineStr">
        <is>
          <t>N05CF</t>
        </is>
      </c>
      <c r="B312" t="inlineStr"/>
      <c r="C312" t="inlineStr">
        <is>
          <t>LEMBOREXANT</t>
        </is>
      </c>
      <c r="D312" t="inlineStr">
        <is>
          <t>DAYVIGO</t>
        </is>
      </c>
      <c r="E312" t="inlineStr">
        <is>
          <t>5</t>
        </is>
      </c>
      <c r="F312" t="inlineStr">
        <is>
          <t>mg</t>
        </is>
      </c>
      <c r="G312" t="inlineStr">
        <is>
          <t>Film-coated tablet</t>
        </is>
      </c>
      <c r="H312" t="n">
        <v>28</v>
      </c>
      <c r="I312" t="n">
        <v>219.6</v>
      </c>
      <c r="J312" s="5">
        <f>IF(H312&gt;0,I312/H312,"")</f>
        <v/>
      </c>
      <c r="K312" s="5">
        <f>IF(J312="","",J312/Inputs!$B$1)</f>
        <v/>
      </c>
      <c r="L312" t="inlineStr">
        <is>
          <t>Originator</t>
        </is>
      </c>
      <c r="M312" t="inlineStr">
        <is>
          <t>EISAI</t>
        </is>
      </c>
      <c r="N312" t="inlineStr">
        <is>
          <t>Abdulrehman Algosaibi G.T.C.</t>
        </is>
      </c>
      <c r="O312" t="inlineStr">
        <is>
          <t>2101256710</t>
        </is>
      </c>
    </row>
    <row r="313">
      <c r="A313" t="inlineStr">
        <is>
          <t>N05CF</t>
        </is>
      </c>
      <c r="B313" t="inlineStr"/>
      <c r="C313" t="inlineStr">
        <is>
          <t>LEMBOREXANT</t>
        </is>
      </c>
      <c r="D313" t="inlineStr">
        <is>
          <t>DAYVIGO</t>
        </is>
      </c>
      <c r="E313" t="inlineStr">
        <is>
          <t>10</t>
        </is>
      </c>
      <c r="F313" t="inlineStr">
        <is>
          <t>mg</t>
        </is>
      </c>
      <c r="G313" t="inlineStr">
        <is>
          <t>Film-coated tablet</t>
        </is>
      </c>
      <c r="H313" t="n">
        <v>28</v>
      </c>
      <c r="I313" t="n">
        <v>219.6</v>
      </c>
      <c r="J313" s="5">
        <f>IF(H313&gt;0,I313/H313,"")</f>
        <v/>
      </c>
      <c r="K313" s="5">
        <f>IF(J313="","",J313/Inputs!$B$1)</f>
        <v/>
      </c>
      <c r="L313" t="inlineStr">
        <is>
          <t>Originator</t>
        </is>
      </c>
      <c r="M313" t="inlineStr">
        <is>
          <t>EISAI</t>
        </is>
      </c>
      <c r="N313" t="inlineStr">
        <is>
          <t>Abdulrehman Algosaibi G.T.C.</t>
        </is>
      </c>
      <c r="O313" t="inlineStr">
        <is>
          <t>2101256711</t>
        </is>
      </c>
    </row>
    <row r="314">
      <c r="A314" t="inlineStr">
        <is>
          <t>QA10B</t>
        </is>
      </c>
      <c r="B314" t="inlineStr"/>
      <c r="C314" t="inlineStr">
        <is>
          <t>SITAGLIPTIN</t>
        </is>
      </c>
      <c r="D314" t="inlineStr">
        <is>
          <t>Glyptinova Met</t>
        </is>
      </c>
      <c r="E314" t="inlineStr">
        <is>
          <t>50,850</t>
        </is>
      </c>
      <c r="F314" t="inlineStr">
        <is>
          <t>mg</t>
        </is>
      </c>
      <c r="G314" t="inlineStr">
        <is>
          <t>Film-coated tablet</t>
        </is>
      </c>
      <c r="H314" t="n">
        <v>60</v>
      </c>
      <c r="I314" t="n">
        <v>94.3</v>
      </c>
      <c r="J314" s="5">
        <f>IF(H314&gt;0,I314/H314,"")</f>
        <v/>
      </c>
      <c r="K314" s="5">
        <f>IF(J314="","",J314/Inputs!$B$1)</f>
        <v/>
      </c>
      <c r="L314" t="inlineStr">
        <is>
          <t>Generic or other</t>
        </is>
      </c>
      <c r="M314" t="inlineStr">
        <is>
          <t>Kinnova manufacturing company</t>
        </is>
      </c>
      <c r="N314" t="inlineStr">
        <is>
          <t>Soul PharmaKinnova MED company for Distribution</t>
        </is>
      </c>
      <c r="O314" t="inlineStr">
        <is>
          <t>1506269918</t>
        </is>
      </c>
    </row>
    <row r="315">
      <c r="A315" t="inlineStr">
        <is>
          <t>QA10B</t>
        </is>
      </c>
      <c r="B315" t="inlineStr"/>
      <c r="C315" t="inlineStr">
        <is>
          <t>SITAGLIPTIN</t>
        </is>
      </c>
      <c r="D315" t="inlineStr">
        <is>
          <t>Glunexa</t>
        </is>
      </c>
      <c r="E315" t="inlineStr">
        <is>
          <t>50</t>
        </is>
      </c>
      <c r="F315" t="inlineStr">
        <is>
          <t>mg</t>
        </is>
      </c>
      <c r="G315" t="inlineStr">
        <is>
          <t>Film-coated tablet</t>
        </is>
      </c>
      <c r="H315" t="n">
        <v>28</v>
      </c>
      <c r="I315" t="n">
        <v>45</v>
      </c>
      <c r="J315" s="5">
        <f>IF(H315&gt;0,I315/H315,"")</f>
        <v/>
      </c>
      <c r="K315" s="5">
        <f>IF(J315="","",J315/Inputs!$B$1)</f>
        <v/>
      </c>
      <c r="L315" t="inlineStr">
        <is>
          <t>Generic or other</t>
        </is>
      </c>
      <c r="M315" t="inlineStr">
        <is>
          <t>STADA ARZNEIMITTEL GmbH</t>
        </is>
      </c>
      <c r="N315" t="inlineStr">
        <is>
          <t>Alkamal import office</t>
        </is>
      </c>
      <c r="O315" t="inlineStr">
        <is>
          <t>2009260548</t>
        </is>
      </c>
    </row>
    <row r="316">
      <c r="A316" t="inlineStr">
        <is>
          <t>QA10B</t>
        </is>
      </c>
      <c r="B316" t="inlineStr"/>
      <c r="C316" t="inlineStr">
        <is>
          <t>SITAGLIPTIN</t>
        </is>
      </c>
      <c r="D316" t="inlineStr">
        <is>
          <t>Glyptinova Met</t>
        </is>
      </c>
      <c r="E316" t="inlineStr">
        <is>
          <t>50,1000</t>
        </is>
      </c>
      <c r="F316" t="inlineStr">
        <is>
          <t>mg</t>
        </is>
      </c>
      <c r="G316" t="inlineStr">
        <is>
          <t>Film-coated tablet</t>
        </is>
      </c>
      <c r="H316" t="n">
        <v>60</v>
      </c>
      <c r="I316" t="n">
        <v>97.7</v>
      </c>
      <c r="J316" s="5">
        <f>IF(H316&gt;0,I316/H316,"")</f>
        <v/>
      </c>
      <c r="K316" s="5">
        <f>IF(J316="","",J316/Inputs!$B$1)</f>
        <v/>
      </c>
      <c r="L316" t="inlineStr">
        <is>
          <t>Generic or other</t>
        </is>
      </c>
      <c r="M316" t="inlineStr">
        <is>
          <t>Kinnova manufacturing company</t>
        </is>
      </c>
      <c r="N316" t="inlineStr">
        <is>
          <t>Soul PharmaKinnova MED company for Distribution</t>
        </is>
      </c>
      <c r="O316" t="inlineStr">
        <is>
          <t>1506269921</t>
        </is>
      </c>
    </row>
    <row r="317">
      <c r="A317" t="inlineStr">
        <is>
          <t>QA10B</t>
        </is>
      </c>
      <c r="B317" t="inlineStr"/>
      <c r="C317" t="inlineStr">
        <is>
          <t>SITAGLIPTIN</t>
        </is>
      </c>
      <c r="D317" t="inlineStr">
        <is>
          <t>Glunexa</t>
        </is>
      </c>
      <c r="E317" t="inlineStr">
        <is>
          <t>100</t>
        </is>
      </c>
      <c r="F317" t="inlineStr">
        <is>
          <t>mg</t>
        </is>
      </c>
      <c r="G317" t="inlineStr">
        <is>
          <t>Film-coated tablet</t>
        </is>
      </c>
      <c r="H317" t="n">
        <v>28</v>
      </c>
      <c r="I317" t="n">
        <v>84.2</v>
      </c>
      <c r="J317" s="5">
        <f>IF(H317&gt;0,I317/H317,"")</f>
        <v/>
      </c>
      <c r="K317" s="5">
        <f>IF(J317="","",J317/Inputs!$B$1)</f>
        <v/>
      </c>
      <c r="L317" t="inlineStr">
        <is>
          <t>Generic or other</t>
        </is>
      </c>
      <c r="M317" t="inlineStr">
        <is>
          <t>STADA ARZNEIMITTEL GmbH</t>
        </is>
      </c>
      <c r="N317" t="inlineStr">
        <is>
          <t>Alkamal import office</t>
        </is>
      </c>
      <c r="O317" t="inlineStr">
        <is>
          <t>2009260549</t>
        </is>
      </c>
    </row>
    <row r="318">
      <c r="A318" t="inlineStr">
        <is>
          <t>V03AB</t>
        </is>
      </c>
      <c r="B318" t="inlineStr">
        <is>
          <t>Antidotes</t>
        </is>
      </c>
      <c r="C318" t="inlineStr">
        <is>
          <t>SUGAMMADEX</t>
        </is>
      </c>
      <c r="D318" t="inlineStr">
        <is>
          <t>Sugammadex ALH</t>
        </is>
      </c>
      <c r="E318" t="inlineStr">
        <is>
          <t>100</t>
        </is>
      </c>
      <c r="F318" t="inlineStr">
        <is>
          <t>mg/ml</t>
        </is>
      </c>
      <c r="G318" t="inlineStr">
        <is>
          <t>Solution for injection</t>
        </is>
      </c>
      <c r="H318" t="n">
        <v>10</v>
      </c>
      <c r="I318" t="n">
        <v>1414.2</v>
      </c>
      <c r="J318" s="5">
        <f>IF(H318&gt;0,I318/H318,"")</f>
        <v/>
      </c>
      <c r="K318" s="5">
        <f>IF(J318="","",J318/Inputs!$B$1)</f>
        <v/>
      </c>
      <c r="L318" t="inlineStr">
        <is>
          <t>Generic or other</t>
        </is>
      </c>
      <c r="M318" t="inlineStr">
        <is>
          <t>Alhobail Pharm</t>
        </is>
      </c>
      <c r="N318" t="inlineStr">
        <is>
          <t>AL HOBAIL MEDICAL OFFICE COMPANY LTD.</t>
        </is>
      </c>
      <c r="O318" t="inlineStr">
        <is>
          <t>1311258589</t>
        </is>
      </c>
    </row>
    <row r="319">
      <c r="A319" t="inlineStr">
        <is>
          <t>V03AB</t>
        </is>
      </c>
      <c r="B319" t="inlineStr">
        <is>
          <t>Antidotes</t>
        </is>
      </c>
      <c r="C319" t="inlineStr">
        <is>
          <t>SUGAMMADEX</t>
        </is>
      </c>
      <c r="D319" t="inlineStr">
        <is>
          <t>Sugarelax-TV</t>
        </is>
      </c>
      <c r="E319" t="inlineStr">
        <is>
          <t>100</t>
        </is>
      </c>
      <c r="F319" t="inlineStr">
        <is>
          <t>mg/ml</t>
        </is>
      </c>
      <c r="G319" t="inlineStr">
        <is>
          <t>Solution for injection</t>
        </is>
      </c>
      <c r="H319" t="n">
        <v>10</v>
      </c>
      <c r="I319" t="n">
        <v>1414.2</v>
      </c>
      <c r="J319" s="5">
        <f>IF(H319&gt;0,I319/H319,"")</f>
        <v/>
      </c>
      <c r="K319" s="5">
        <f>IF(J319="","",J319/Inputs!$B$1)</f>
        <v/>
      </c>
      <c r="L319" t="inlineStr">
        <is>
          <t>Generic or other</t>
        </is>
      </c>
      <c r="M319" t="inlineStr">
        <is>
          <t>Ratiopharm GmbH</t>
        </is>
      </c>
      <c r="N319" t="inlineStr">
        <is>
          <t>Cigalah Group</t>
        </is>
      </c>
      <c r="O319" t="inlineStr">
        <is>
          <t>1901268946</t>
        </is>
      </c>
    </row>
    <row r="320">
      <c r="A320" t="inlineStr">
        <is>
          <t>V03AB</t>
        </is>
      </c>
      <c r="B320" t="inlineStr">
        <is>
          <t>Antidotes</t>
        </is>
      </c>
      <c r="C320" t="inlineStr">
        <is>
          <t>SUGAMMADEX</t>
        </is>
      </c>
      <c r="D320" t="inlineStr">
        <is>
          <t>sugmadon</t>
        </is>
      </c>
      <c r="E320" t="inlineStr">
        <is>
          <t>100</t>
        </is>
      </c>
      <c r="F320" t="inlineStr">
        <is>
          <t>mg/ml</t>
        </is>
      </c>
      <c r="G320" t="inlineStr">
        <is>
          <t>Injection</t>
        </is>
      </c>
      <c r="H320" t="n">
        <v>1</v>
      </c>
      <c r="I320" t="n">
        <v>147.6</v>
      </c>
      <c r="J320" s="5">
        <f>IF(H320&gt;0,I320/H320,"")</f>
        <v/>
      </c>
      <c r="K320" s="5">
        <f>IF(J320="","",J320/Inputs!$B$1)</f>
        <v/>
      </c>
      <c r="L320" t="inlineStr">
        <is>
          <t>Generic or other</t>
        </is>
      </c>
      <c r="M320" t="inlineStr">
        <is>
          <t>Pharma Pharmaceutical Industries (PPI)</t>
        </is>
      </c>
      <c r="N320" t="inlineStr">
        <is>
          <t>Pharma Pharmaceutical Industries (PPI)</t>
        </is>
      </c>
      <c r="O320" t="inlineStr">
        <is>
          <t>1611258596</t>
        </is>
      </c>
    </row>
    <row r="321">
      <c r="A321" t="inlineStr">
        <is>
          <t>V03AB</t>
        </is>
      </c>
      <c r="B321" t="inlineStr">
        <is>
          <t>Antidotes</t>
        </is>
      </c>
      <c r="C321" t="inlineStr">
        <is>
          <t>SUGAMMADEX</t>
        </is>
      </c>
      <c r="D321" t="inlineStr">
        <is>
          <t>Relavers</t>
        </is>
      </c>
      <c r="E321" t="inlineStr">
        <is>
          <t>100</t>
        </is>
      </c>
      <c r="F321" t="inlineStr">
        <is>
          <t>mg/ml</t>
        </is>
      </c>
      <c r="G321" t="inlineStr">
        <is>
          <t>Solution for injection</t>
        </is>
      </c>
      <c r="H321" t="n">
        <v>10</v>
      </c>
      <c r="I321" t="n">
        <v>1476.4</v>
      </c>
      <c r="J321" s="5">
        <f>IF(H321&gt;0,I321/H321,"")</f>
        <v/>
      </c>
      <c r="K321" s="5">
        <f>IF(J321="","",J321/Inputs!$B$1)</f>
        <v/>
      </c>
      <c r="L321" t="inlineStr">
        <is>
          <t>Generic or other</t>
        </is>
      </c>
      <c r="M321" t="inlineStr">
        <is>
          <t>AL RAZI PHARMA INDUSTRIES</t>
        </is>
      </c>
      <c r="N321" t="inlineStr">
        <is>
          <t>AL RAZI PHARMA INDUSTRIES</t>
        </is>
      </c>
      <c r="O321" t="inlineStr">
        <is>
          <t>2111246311</t>
        </is>
      </c>
    </row>
    <row r="322">
      <c r="A322" t="inlineStr">
        <is>
          <t>V03AB</t>
        </is>
      </c>
      <c r="B322" t="inlineStr">
        <is>
          <t>Antidotes</t>
        </is>
      </c>
      <c r="C322" t="inlineStr">
        <is>
          <t>SUGAMMADEX</t>
        </is>
      </c>
      <c r="D322" t="inlineStr">
        <is>
          <t>Sudex 200 mg per 2 ml</t>
        </is>
      </c>
      <c r="E322" t="inlineStr">
        <is>
          <t>100</t>
        </is>
      </c>
      <c r="F322" t="inlineStr">
        <is>
          <t>mg/ml</t>
        </is>
      </c>
      <c r="G322" t="inlineStr">
        <is>
          <t>Solution for injection</t>
        </is>
      </c>
      <c r="H322" t="n">
        <v>1</v>
      </c>
      <c r="I322" t="n">
        <v>174.25</v>
      </c>
      <c r="J322" s="5">
        <f>IF(H322&gt;0,I322/H322,"")</f>
        <v/>
      </c>
      <c r="K322" s="5">
        <f>IF(J322="","",J322/Inputs!$B$1)</f>
        <v/>
      </c>
      <c r="L322" t="inlineStr">
        <is>
          <t>Generic or other</t>
        </is>
      </c>
      <c r="M322" t="inlineStr">
        <is>
          <t>Saudi Amarox</t>
        </is>
      </c>
      <c r="N322" t="inlineStr">
        <is>
          <t>Saudi AmaroxAL-DAWAA MEDICAL SERVICES CO. LTD</t>
        </is>
      </c>
      <c r="O322" t="inlineStr">
        <is>
          <t>1804245174</t>
        </is>
      </c>
    </row>
    <row r="323">
      <c r="A323" t="inlineStr">
        <is>
          <t>V03AB</t>
        </is>
      </c>
      <c r="B323" t="inlineStr">
        <is>
          <t>Antidotes</t>
        </is>
      </c>
      <c r="C323" t="inlineStr">
        <is>
          <t>SUGAMMADEX</t>
        </is>
      </c>
      <c r="D323" t="inlineStr">
        <is>
          <t>Sugmastad</t>
        </is>
      </c>
      <c r="E323" t="inlineStr">
        <is>
          <t>100</t>
        </is>
      </c>
      <c r="F323" t="inlineStr">
        <is>
          <t>mg/ml</t>
        </is>
      </c>
      <c r="G323" t="inlineStr">
        <is>
          <t>Solution for injection</t>
        </is>
      </c>
      <c r="H323" t="n">
        <v>10</v>
      </c>
      <c r="I323" t="n">
        <v>1742.5</v>
      </c>
      <c r="J323" s="5">
        <f>IF(H323&gt;0,I323/H323,"")</f>
        <v/>
      </c>
      <c r="K323" s="5">
        <f>IF(J323="","",J323/Inputs!$B$1)</f>
        <v/>
      </c>
      <c r="L323" t="inlineStr">
        <is>
          <t>Generic or other</t>
        </is>
      </c>
      <c r="M323" t="inlineStr">
        <is>
          <t>Hemofarm AD Vrsac</t>
        </is>
      </c>
      <c r="N323" t="inlineStr">
        <is>
          <t>Salehiya Trading Co.</t>
        </is>
      </c>
      <c r="O323" t="inlineStr">
        <is>
          <t>0901256568</t>
        </is>
      </c>
    </row>
    <row r="324">
      <c r="A324" t="inlineStr">
        <is>
          <t>V03AB</t>
        </is>
      </c>
      <c r="B324" t="inlineStr">
        <is>
          <t>Antidotes</t>
        </is>
      </c>
      <c r="C324" t="inlineStr">
        <is>
          <t>SUGAMMADEX</t>
        </is>
      </c>
      <c r="D324" t="inlineStr">
        <is>
          <t>Plibadex</t>
        </is>
      </c>
      <c r="E324" t="inlineStr">
        <is>
          <t>100</t>
        </is>
      </c>
      <c r="F324" t="inlineStr">
        <is>
          <t>mg/ml</t>
        </is>
      </c>
      <c r="G324" t="inlineStr">
        <is>
          <t>Solution for injection</t>
        </is>
      </c>
      <c r="H324" t="n">
        <v>10</v>
      </c>
      <c r="I324" t="n">
        <v>1742.5</v>
      </c>
      <c r="J324" s="5">
        <f>IF(H324&gt;0,I324/H324,"")</f>
        <v/>
      </c>
      <c r="K324" s="5">
        <f>IF(J324="","",J324/Inputs!$B$1)</f>
        <v/>
      </c>
      <c r="L324" t="inlineStr">
        <is>
          <t>Generic or other</t>
        </is>
      </c>
      <c r="M324" t="inlineStr">
        <is>
          <t>SANDOZ GMBH</t>
        </is>
      </c>
      <c r="N324" t="inlineStr">
        <is>
          <t>Sandoz Limited Trading</t>
        </is>
      </c>
      <c r="O324" t="inlineStr">
        <is>
          <t>1407260115</t>
        </is>
      </c>
    </row>
    <row r="325">
      <c r="A325" t="inlineStr">
        <is>
          <t>V03AB</t>
        </is>
      </c>
      <c r="B325" t="inlineStr">
        <is>
          <t>Antidotes</t>
        </is>
      </c>
      <c r="C325" t="inlineStr">
        <is>
          <t>SUGAMMADEX</t>
        </is>
      </c>
      <c r="D325" t="inlineStr">
        <is>
          <t>Sumadix 200 per 2 ml Vials</t>
        </is>
      </c>
      <c r="E325" t="inlineStr">
        <is>
          <t>100</t>
        </is>
      </c>
      <c r="F325" t="inlineStr">
        <is>
          <t>mg/ml</t>
        </is>
      </c>
      <c r="G325" t="inlineStr">
        <is>
          <t>Solution for injection</t>
        </is>
      </c>
      <c r="H325" t="n">
        <v>10</v>
      </c>
      <c r="I325" t="n">
        <v>1742.6</v>
      </c>
      <c r="J325" s="5">
        <f>IF(H325&gt;0,I325/H325,"")</f>
        <v/>
      </c>
      <c r="K325" s="5">
        <f>IF(J325="","",J325/Inputs!$B$1)</f>
        <v/>
      </c>
      <c r="L325" t="inlineStr">
        <is>
          <t>Generic or other</t>
        </is>
      </c>
      <c r="M325" t="inlineStr">
        <is>
          <t>MS PHARMA for Pharmaceuticals</t>
        </is>
      </c>
      <c r="N325" t="inlineStr">
        <is>
          <t>Cigalah Group</t>
        </is>
      </c>
      <c r="O325" t="inlineStr">
        <is>
          <t>1710234348</t>
        </is>
      </c>
    </row>
    <row r="326">
      <c r="A326" t="inlineStr">
        <is>
          <t>V03AB</t>
        </is>
      </c>
      <c r="B326" t="inlineStr">
        <is>
          <t>Antidotes</t>
        </is>
      </c>
      <c r="C326" t="inlineStr">
        <is>
          <t>SUGAMMADEX</t>
        </is>
      </c>
      <c r="D326" t="inlineStr">
        <is>
          <t>Wekasurg 200 mg per 2 ml</t>
        </is>
      </c>
      <c r="E326" t="inlineStr">
        <is>
          <t>100</t>
        </is>
      </c>
      <c r="F326" t="inlineStr">
        <is>
          <t>mg/ml</t>
        </is>
      </c>
      <c r="G326" t="inlineStr">
        <is>
          <t>Solution for injection</t>
        </is>
      </c>
      <c r="H326" t="n">
        <v>10</v>
      </c>
      <c r="I326" t="n">
        <v>1742.6</v>
      </c>
      <c r="J326" s="5">
        <f>IF(H326&gt;0,I326/H326,"")</f>
        <v/>
      </c>
      <c r="K326" s="5">
        <f>IF(J326="","",J326/Inputs!$B$1)</f>
        <v/>
      </c>
      <c r="L326" t="inlineStr">
        <is>
          <t>Generic or other</t>
        </is>
      </c>
      <c r="M326" t="inlineStr">
        <is>
          <t>SAJA-SAUDI ARABIAN JAPANESE PHARMACEUTICAL CO</t>
        </is>
      </c>
      <c r="N326" t="inlineStr">
        <is>
          <t>Farouk, Maamoun Tamer &amp; CO</t>
        </is>
      </c>
      <c r="O326" t="inlineStr">
        <is>
          <t>2012234601</t>
        </is>
      </c>
    </row>
    <row r="327">
      <c r="A327" t="inlineStr">
        <is>
          <t>V03AB</t>
        </is>
      </c>
      <c r="B327" t="inlineStr">
        <is>
          <t>Antidotes</t>
        </is>
      </c>
      <c r="C327" t="inlineStr">
        <is>
          <t>SUGAMMADEX</t>
        </is>
      </c>
      <c r="D327" t="inlineStr">
        <is>
          <t>Muscodex</t>
        </is>
      </c>
      <c r="E327" t="inlineStr">
        <is>
          <t>100</t>
        </is>
      </c>
      <c r="F327" t="inlineStr">
        <is>
          <t>mg/ml</t>
        </is>
      </c>
      <c r="G327" t="inlineStr">
        <is>
          <t>Solution for injection</t>
        </is>
      </c>
      <c r="H327" t="n">
        <v>10</v>
      </c>
      <c r="I327" t="n">
        <v>1742.6</v>
      </c>
      <c r="J327" s="5">
        <f>IF(H327&gt;0,I327/H327,"")</f>
        <v/>
      </c>
      <c r="K327" s="5">
        <f>IF(J327="","",J327/Inputs!$B$1)</f>
        <v/>
      </c>
      <c r="L327" t="inlineStr">
        <is>
          <t>Generic or other</t>
        </is>
      </c>
      <c r="M327" t="inlineStr">
        <is>
          <t>Tabuk Pharmaceutical Manufacturing Company</t>
        </is>
      </c>
      <c r="N327" t="inlineStr">
        <is>
          <t>Tabuk Pharmaceutical Manufacturing Company</t>
        </is>
      </c>
      <c r="O327" t="inlineStr">
        <is>
          <t>1010246029</t>
        </is>
      </c>
    </row>
    <row r="328">
      <c r="A328" t="inlineStr">
        <is>
          <t>V03AB</t>
        </is>
      </c>
      <c r="B328" t="inlineStr">
        <is>
          <t>Antidotes</t>
        </is>
      </c>
      <c r="C328" t="inlineStr">
        <is>
          <t>SUGAMMADEX</t>
        </is>
      </c>
      <c r="D328" t="inlineStr">
        <is>
          <t>Sugammadex Kabi</t>
        </is>
      </c>
      <c r="E328" t="inlineStr">
        <is>
          <t>100</t>
        </is>
      </c>
      <c r="F328" t="inlineStr">
        <is>
          <t>mg/ml</t>
        </is>
      </c>
      <c r="G328" t="inlineStr">
        <is>
          <t>Solution for injection</t>
        </is>
      </c>
      <c r="H328" t="n">
        <v>10</v>
      </c>
      <c r="I328" t="n">
        <v>1742.6</v>
      </c>
      <c r="J328" s="5">
        <f>IF(H328&gt;0,I328/H328,"")</f>
        <v/>
      </c>
      <c r="K328" s="5">
        <f>IF(J328="","",J328/Inputs!$B$1)</f>
        <v/>
      </c>
      <c r="L328" t="inlineStr">
        <is>
          <t>Generic or other</t>
        </is>
      </c>
      <c r="M328" t="inlineStr">
        <is>
          <t>Fresenius Kabi Deutschland GmbH</t>
        </is>
      </c>
      <c r="N328" t="inlineStr">
        <is>
          <t xml:space="preserve">Faisal Musaed El Seif Saudi Pharmaceutical Co.Abdullatif Mohammed Salah Jamjoom </t>
        </is>
      </c>
      <c r="O328" t="inlineStr">
        <is>
          <t>0603257007</t>
        </is>
      </c>
    </row>
    <row r="329">
      <c r="A329" t="inlineStr">
        <is>
          <t>V03AB</t>
        </is>
      </c>
      <c r="B329" t="inlineStr">
        <is>
          <t>Antidotes</t>
        </is>
      </c>
      <c r="C329" t="inlineStr">
        <is>
          <t>SUGAMMADEX</t>
        </is>
      </c>
      <c r="D329" t="inlineStr">
        <is>
          <t>Malsy</t>
        </is>
      </c>
      <c r="E329" t="inlineStr">
        <is>
          <t>100</t>
        </is>
      </c>
      <c r="F329" t="inlineStr">
        <is>
          <t>mg/ml</t>
        </is>
      </c>
      <c r="G329" t="inlineStr">
        <is>
          <t>Solution for injection</t>
        </is>
      </c>
      <c r="H329" t="n">
        <v>10</v>
      </c>
      <c r="I329" t="n">
        <v>1742.6</v>
      </c>
      <c r="J329" s="5">
        <f>IF(H329&gt;0,I329/H329,"")</f>
        <v/>
      </c>
      <c r="K329" s="5">
        <f>IF(J329="","",J329/Inputs!$B$1)</f>
        <v/>
      </c>
      <c r="L329" t="inlineStr">
        <is>
          <t>Generic or other</t>
        </is>
      </c>
      <c r="M329" t="inlineStr">
        <is>
          <t>SPIMACO</t>
        </is>
      </c>
      <c r="N329" t="inlineStr">
        <is>
          <t>SPIMACO</t>
        </is>
      </c>
      <c r="O329" t="inlineStr">
        <is>
          <t>1706257569</t>
        </is>
      </c>
    </row>
    <row r="330">
      <c r="A330" t="inlineStr">
        <is>
          <t>V03AB</t>
        </is>
      </c>
      <c r="B330" t="inlineStr">
        <is>
          <t>Antidotes</t>
        </is>
      </c>
      <c r="C330" t="inlineStr">
        <is>
          <t>SUGAMMADEX</t>
        </is>
      </c>
      <c r="D330" t="inlineStr">
        <is>
          <t>Ricavo</t>
        </is>
      </c>
      <c r="E330" t="inlineStr">
        <is>
          <t>100</t>
        </is>
      </c>
      <c r="F330" t="inlineStr">
        <is>
          <t>mg/ml</t>
        </is>
      </c>
      <c r="G330" t="inlineStr">
        <is>
          <t>Solution for injection</t>
        </is>
      </c>
      <c r="H330" t="n">
        <v>10</v>
      </c>
      <c r="I330" t="n">
        <v>1887.8</v>
      </c>
      <c r="J330" s="5">
        <f>IF(H330&gt;0,I330/H330,"")</f>
        <v/>
      </c>
      <c r="K330" s="5">
        <f>IF(J330="","",J330/Inputs!$B$1)</f>
        <v/>
      </c>
      <c r="L330" t="inlineStr">
        <is>
          <t>Generic or other</t>
        </is>
      </c>
      <c r="M330" t="inlineStr">
        <is>
          <t>Jazeera Pharmaceutical Industries (JPI)</t>
        </is>
      </c>
      <c r="N330" t="inlineStr">
        <is>
          <t>Jazeera Pharmaceutical Industries (JPI)</t>
        </is>
      </c>
      <c r="O330" t="inlineStr">
        <is>
          <t>1506233819</t>
        </is>
      </c>
    </row>
    <row r="331">
      <c r="A331" t="inlineStr">
        <is>
          <t>V03AB</t>
        </is>
      </c>
      <c r="B331" t="inlineStr">
        <is>
          <t>Antidotes</t>
        </is>
      </c>
      <c r="C331" t="inlineStr">
        <is>
          <t>SUGAMMADEX</t>
        </is>
      </c>
      <c r="D331" t="inlineStr">
        <is>
          <t>Surlex 200 mg  / 2 ml</t>
        </is>
      </c>
      <c r="E331" t="inlineStr">
        <is>
          <t>100</t>
        </is>
      </c>
      <c r="F331" t="inlineStr">
        <is>
          <t>mg/ml</t>
        </is>
      </c>
      <c r="G331" t="inlineStr">
        <is>
          <t>Solution for injection</t>
        </is>
      </c>
      <c r="H331" t="n">
        <v>10</v>
      </c>
      <c r="I331" t="n">
        <v>2033.05</v>
      </c>
      <c r="J331" s="5">
        <f>IF(H331&gt;0,I331/H331,"")</f>
        <v/>
      </c>
      <c r="K331" s="5">
        <f>IF(J331="","",J331/Inputs!$B$1)</f>
        <v/>
      </c>
      <c r="L331" t="inlineStr">
        <is>
          <t>Generic or other</t>
        </is>
      </c>
      <c r="M331" t="inlineStr">
        <is>
          <t>SUDAIR PHARMA COMPANY</t>
        </is>
      </c>
      <c r="N331" t="inlineStr">
        <is>
          <t>SUDAIR PHARMA COMPANY</t>
        </is>
      </c>
      <c r="O331" t="inlineStr">
        <is>
          <t>3010222844</t>
        </is>
      </c>
    </row>
    <row r="332">
      <c r="A332" t="inlineStr">
        <is>
          <t>V03AB</t>
        </is>
      </c>
      <c r="B332" t="inlineStr">
        <is>
          <t>Antidotes</t>
        </is>
      </c>
      <c r="C332" t="inlineStr">
        <is>
          <t>SUGAMMADEX</t>
        </is>
      </c>
      <c r="D332" t="inlineStr">
        <is>
          <t>BRIDION 100 mg/ml Solution for Injection</t>
        </is>
      </c>
      <c r="E332" t="inlineStr">
        <is>
          <t>100</t>
        </is>
      </c>
      <c r="F332" t="inlineStr">
        <is>
          <t>mg/ml</t>
        </is>
      </c>
      <c r="G332" t="inlineStr">
        <is>
          <t>Solution for injection</t>
        </is>
      </c>
      <c r="H332" t="n">
        <v>10</v>
      </c>
      <c r="I332" t="n">
        <v>2178.25</v>
      </c>
      <c r="J332" s="5">
        <f>IF(H332&gt;0,I332/H332,"")</f>
        <v/>
      </c>
      <c r="K332" s="5">
        <f>IF(J332="","",J332/Inputs!$B$1)</f>
        <v/>
      </c>
      <c r="L332" t="inlineStr">
        <is>
          <t>MSD</t>
        </is>
      </c>
      <c r="M332" t="inlineStr">
        <is>
          <t>MERCK SHARP &amp; DOHME LIMITED</t>
        </is>
      </c>
      <c r="N332" t="inlineStr">
        <is>
          <t>Farouk, Maamoun Tamer &amp; CO</t>
        </is>
      </c>
      <c r="O332" t="inlineStr">
        <is>
          <t>2609234274</t>
        </is>
      </c>
    </row>
    <row r="333">
      <c r="A333" t="inlineStr">
        <is>
          <t>V03AB</t>
        </is>
      </c>
      <c r="B333" t="inlineStr">
        <is>
          <t>Antidotes</t>
        </is>
      </c>
      <c r="C333" t="inlineStr">
        <is>
          <t>SUGAMMADEX</t>
        </is>
      </c>
      <c r="D333" t="inlineStr">
        <is>
          <t>Sugmastad</t>
        </is>
      </c>
      <c r="E333" t="inlineStr">
        <is>
          <t>100</t>
        </is>
      </c>
      <c r="F333" t="inlineStr">
        <is>
          <t>mg/ml</t>
        </is>
      </c>
      <c r="G333" t="inlineStr">
        <is>
          <t>Solution for injection</t>
        </is>
      </c>
      <c r="H333" t="n">
        <v>10</v>
      </c>
      <c r="I333" t="n">
        <v>4356.5</v>
      </c>
      <c r="J333" s="5">
        <f>IF(H333&gt;0,I333/H333,"")</f>
        <v/>
      </c>
      <c r="K333" s="5">
        <f>IF(J333="","",J333/Inputs!$B$1)</f>
        <v/>
      </c>
      <c r="L333" t="inlineStr">
        <is>
          <t>Generic or other</t>
        </is>
      </c>
      <c r="M333" t="inlineStr">
        <is>
          <t>Hemofarm AD Vrsac</t>
        </is>
      </c>
      <c r="N333" t="inlineStr">
        <is>
          <t>Salehiya Trading Co.</t>
        </is>
      </c>
      <c r="O333" t="inlineStr">
        <is>
          <t>0901256569</t>
        </is>
      </c>
    </row>
    <row r="334">
      <c r="A334" t="inlineStr">
        <is>
          <t>V03AB</t>
        </is>
      </c>
      <c r="B334" t="inlineStr">
        <is>
          <t>Antidotes</t>
        </is>
      </c>
      <c r="C334" t="inlineStr">
        <is>
          <t>SUGAMMADEX</t>
        </is>
      </c>
      <c r="D334" t="inlineStr">
        <is>
          <t>Sumadix 500 per 5 ml Vials</t>
        </is>
      </c>
      <c r="E334" t="inlineStr">
        <is>
          <t>100</t>
        </is>
      </c>
      <c r="F334" t="inlineStr">
        <is>
          <t>mg/ml</t>
        </is>
      </c>
      <c r="G334" t="inlineStr">
        <is>
          <t>Solution for injection</t>
        </is>
      </c>
      <c r="H334" t="n">
        <v>10</v>
      </c>
      <c r="I334" t="n">
        <v>4356.55</v>
      </c>
      <c r="J334" s="5">
        <f>IF(H334&gt;0,I334/H334,"")</f>
        <v/>
      </c>
      <c r="K334" s="5">
        <f>IF(J334="","",J334/Inputs!$B$1)</f>
        <v/>
      </c>
      <c r="L334" t="inlineStr">
        <is>
          <t>Generic or other</t>
        </is>
      </c>
      <c r="M334" t="inlineStr">
        <is>
          <t>MS PHARMA for Pharmaceuticals</t>
        </is>
      </c>
      <c r="N334" t="inlineStr">
        <is>
          <t>Cigalah Group</t>
        </is>
      </c>
      <c r="O334" t="inlineStr">
        <is>
          <t>1710234347</t>
        </is>
      </c>
    </row>
    <row r="335">
      <c r="A335" t="inlineStr">
        <is>
          <t>V03AB</t>
        </is>
      </c>
      <c r="B335" t="inlineStr">
        <is>
          <t>Antidotes</t>
        </is>
      </c>
      <c r="C335" t="inlineStr">
        <is>
          <t>SUGAMMADEX</t>
        </is>
      </c>
      <c r="D335" t="inlineStr">
        <is>
          <t>Plibadex</t>
        </is>
      </c>
      <c r="E335" t="inlineStr">
        <is>
          <t>100</t>
        </is>
      </c>
      <c r="F335" t="inlineStr">
        <is>
          <t>mg/ml</t>
        </is>
      </c>
      <c r="G335" t="inlineStr">
        <is>
          <t>Solution for injection</t>
        </is>
      </c>
      <c r="H335" t="n">
        <v>10</v>
      </c>
      <c r="I335" t="n">
        <v>4356.55</v>
      </c>
      <c r="J335" s="5">
        <f>IF(H335&gt;0,I335/H335,"")</f>
        <v/>
      </c>
      <c r="K335" s="5">
        <f>IF(J335="","",J335/Inputs!$B$1)</f>
        <v/>
      </c>
      <c r="L335" t="inlineStr">
        <is>
          <t>Generic or other</t>
        </is>
      </c>
      <c r="M335" t="inlineStr">
        <is>
          <t>SANDOZ GMBH</t>
        </is>
      </c>
      <c r="N335" t="inlineStr">
        <is>
          <t>Sandoz Limited Trading</t>
        </is>
      </c>
      <c r="O335" t="inlineStr">
        <is>
          <t>1407260114</t>
        </is>
      </c>
    </row>
    <row r="336">
      <c r="A336" t="inlineStr">
        <is>
          <t>V03AB</t>
        </is>
      </c>
      <c r="B336" t="inlineStr">
        <is>
          <t>Antidotes</t>
        </is>
      </c>
      <c r="C336" t="inlineStr">
        <is>
          <t>SUGAMMADEX</t>
        </is>
      </c>
      <c r="D336" t="inlineStr">
        <is>
          <t>Sugammadex Kabi</t>
        </is>
      </c>
      <c r="E336" t="inlineStr">
        <is>
          <t>100</t>
        </is>
      </c>
      <c r="F336" t="inlineStr">
        <is>
          <t>mg/ml</t>
        </is>
      </c>
      <c r="G336" t="inlineStr">
        <is>
          <t>Solution for injection</t>
        </is>
      </c>
      <c r="H336" t="n">
        <v>10</v>
      </c>
      <c r="I336" t="n">
        <v>4356.6</v>
      </c>
      <c r="J336" s="5">
        <f>IF(H336&gt;0,I336/H336,"")</f>
        <v/>
      </c>
      <c r="K336" s="5">
        <f>IF(J336="","",J336/Inputs!$B$1)</f>
        <v/>
      </c>
      <c r="L336" t="inlineStr">
        <is>
          <t>Generic or other</t>
        </is>
      </c>
      <c r="M336" t="inlineStr">
        <is>
          <t>Fresenius Kabi Deutschland GmbH</t>
        </is>
      </c>
      <c r="N336" t="inlineStr">
        <is>
          <t xml:space="preserve">Faisal Musaed El Seif Saudi Pharmaceutical Co.Abdullatif Mohammed Salah Jamjoom </t>
        </is>
      </c>
      <c r="O336" t="inlineStr">
        <is>
          <t>0603257005</t>
        </is>
      </c>
    </row>
    <row r="337">
      <c r="A337" t="inlineStr">
        <is>
          <t>V03AB</t>
        </is>
      </c>
      <c r="B337" t="inlineStr">
        <is>
          <t>Antidotes</t>
        </is>
      </c>
      <c r="C337" t="inlineStr">
        <is>
          <t>SUGAMMADEX</t>
        </is>
      </c>
      <c r="D337" t="inlineStr">
        <is>
          <t>Surlex 500 mg / 5 ml</t>
        </is>
      </c>
      <c r="E337" t="inlineStr">
        <is>
          <t>100</t>
        </is>
      </c>
      <c r="F337" t="inlineStr">
        <is>
          <t>mg/ml</t>
        </is>
      </c>
      <c r="G337" t="inlineStr">
        <is>
          <t>Solution for injection</t>
        </is>
      </c>
      <c r="H337" t="n">
        <v>10</v>
      </c>
      <c r="I337" t="n">
        <v>5082.65</v>
      </c>
      <c r="J337" s="5">
        <f>IF(H337&gt;0,I337/H337,"")</f>
        <v/>
      </c>
      <c r="K337" s="5">
        <f>IF(J337="","",J337/Inputs!$B$1)</f>
        <v/>
      </c>
      <c r="L337" t="inlineStr">
        <is>
          <t>Generic or other</t>
        </is>
      </c>
      <c r="M337" t="inlineStr">
        <is>
          <t>SUDAIR PHARMA COMPANY</t>
        </is>
      </c>
      <c r="N337" t="inlineStr">
        <is>
          <t>SUDAIR PHARMA COMPANY</t>
        </is>
      </c>
      <c r="O337" t="inlineStr">
        <is>
          <t>3010222845</t>
        </is>
      </c>
    </row>
    <row r="338">
      <c r="A338" t="inlineStr">
        <is>
          <t>V03AB</t>
        </is>
      </c>
      <c r="B338" t="inlineStr">
        <is>
          <t>Antidotes</t>
        </is>
      </c>
      <c r="C338" t="inlineStr">
        <is>
          <t>SUGAMMADEX</t>
        </is>
      </c>
      <c r="D338" t="inlineStr">
        <is>
          <t>BRIDION 100 MG/ML SOLUTION FOR INJECTION</t>
        </is>
      </c>
      <c r="E338" t="inlineStr">
        <is>
          <t>100</t>
        </is>
      </c>
      <c r="F338" t="inlineStr">
        <is>
          <t>mg/ml</t>
        </is>
      </c>
      <c r="G338" t="inlineStr">
        <is>
          <t>Solution for injection</t>
        </is>
      </c>
      <c r="H338" t="n">
        <v>10</v>
      </c>
      <c r="I338" t="n">
        <v>5445.65</v>
      </c>
      <c r="J338" s="5">
        <f>IF(H338&gt;0,I338/H338,"")</f>
        <v/>
      </c>
      <c r="K338" s="5">
        <f>IF(J338="","",J338/Inputs!$B$1)</f>
        <v/>
      </c>
      <c r="L338" t="inlineStr">
        <is>
          <t>MSD</t>
        </is>
      </c>
      <c r="M338" t="inlineStr">
        <is>
          <t>MERCK SHARP &amp; DOHME LIMITED</t>
        </is>
      </c>
      <c r="N338" t="inlineStr">
        <is>
          <t>Farouk, Maamoun Tamer &amp; CO</t>
        </is>
      </c>
      <c r="O338" t="inlineStr">
        <is>
          <t>1403245052</t>
        </is>
      </c>
    </row>
    <row r="339">
      <c r="A339" t="inlineStr">
        <is>
          <t>V08AB</t>
        </is>
      </c>
      <c r="B339" t="inlineStr"/>
      <c r="C339" t="inlineStr">
        <is>
          <t>PAPILLOMA</t>
        </is>
      </c>
      <c r="D339" t="inlineStr">
        <is>
          <t>GARDASIL RECOMBINANT VACCINE</t>
        </is>
      </c>
      <c r="E339" t="inlineStr">
        <is>
          <t>20,40,40,20</t>
        </is>
      </c>
      <c r="F339" t="inlineStr">
        <is>
          <t>mg/ml</t>
        </is>
      </c>
      <c r="G339" t="inlineStr">
        <is>
          <t>Injection</t>
        </is>
      </c>
      <c r="H339" t="n">
        <v>12</v>
      </c>
      <c r="I339" t="n">
        <v>411.9</v>
      </c>
      <c r="J339" s="5">
        <f>IF(H339&gt;0,I339/H339,"")</f>
        <v/>
      </c>
      <c r="K339" s="5">
        <f>IF(J339="","",J339/Inputs!$B$1)</f>
        <v/>
      </c>
      <c r="L339" t="inlineStr">
        <is>
          <t>Originator</t>
        </is>
      </c>
      <c r="M339" t="inlineStr">
        <is>
          <t>LIEBEL FLARSHEIM COMPANY LLC</t>
        </is>
      </c>
      <c r="N339" t="inlineStr">
        <is>
          <t>Farouk, Maamoun Tamer &amp; CO</t>
        </is>
      </c>
      <c r="O339" t="inlineStr">
        <is>
          <t>1502269148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0" customWidth="1" min="4" max="4"/>
    <col width="10" customWidth="1" min="5" max="5"/>
    <col width="14" customWidth="1" min="6" max="6"/>
    <col width="12" customWidth="1" min="7" max="7"/>
  </cols>
  <sheetData>
    <row r="1">
      <c r="A1" s="4" t="inlineStr">
        <is>
          <t>Ingredient</t>
        </is>
      </c>
      <c r="B1" s="4" t="inlineStr">
        <is>
          <t>MSD products</t>
        </is>
      </c>
      <c r="C1" s="4" t="inlineStr">
        <is>
          <t>MSD lowest per unit SAR</t>
        </is>
      </c>
      <c r="D1" s="4" t="inlineStr">
        <is>
          <t>Other versions</t>
        </is>
      </c>
      <c r="E1" s="4" t="inlineStr">
        <is>
          <t>Generic or other</t>
        </is>
      </c>
      <c r="F1" s="4" t="inlineStr">
        <is>
          <t>Cheapest generic per unit SAR</t>
        </is>
      </c>
      <c r="G1" s="4" t="inlineStr">
        <is>
          <t>Cheapest vs MSD</t>
        </is>
      </c>
    </row>
    <row r="2">
      <c r="A2" t="inlineStr">
        <is>
          <t>SITAGLIPTIN</t>
        </is>
      </c>
      <c r="B2" t="inlineStr">
        <is>
          <t>JANUMET; JANUMET XR; JANUVIA 100MG F.C. TABLETS; JANUVIA 25 mg; JANUVIA 50 mg</t>
        </is>
      </c>
      <c r="C2" s="5">
        <f>_xlfn.MINIFS(Products!$J$2:$J$339,Products!$C$2:$C$339,A2,Products!$L$2:$L$339,"MSD")</f>
        <v/>
      </c>
      <c r="D2">
        <f>COUNTIFS(Products!$C$2:$C$339,A2,Products!$L$2:$L$339,"&lt;&gt;MSD")</f>
        <v/>
      </c>
      <c r="E2">
        <f>COUNTIFS(Products!$C$2:$C$339,A2,Products!$L$2:$L$339,"Generic or other")</f>
        <v/>
      </c>
      <c r="F2" s="5">
        <f>IF(E2=0,"",_xlfn.MINIFS(Products!$J$2:$J$339,Products!$C$2:$C$339,A2,Products!$L$2:$L$339,"Generic or other"))</f>
        <v/>
      </c>
      <c r="G2" s="6">
        <f>IF(F2="","",F2/C2-1)</f>
        <v/>
      </c>
    </row>
    <row r="3">
      <c r="A3" t="inlineStr">
        <is>
          <t>SUGAMMADEX</t>
        </is>
      </c>
      <c r="B3" t="inlineStr">
        <is>
          <t>BRIDION 100 MG/ML SOLUTION FOR INJECTION; BRIDION 100 mg/ml Solution for Injection</t>
        </is>
      </c>
      <c r="C3" s="5">
        <f>_xlfn.MINIFS(Products!$J$2:$J$339,Products!$C$2:$C$339,A3,Products!$L$2:$L$339,"MSD")</f>
        <v/>
      </c>
      <c r="D3">
        <f>COUNTIFS(Products!$C$2:$C$339,A3,Products!$L$2:$L$339,"&lt;&gt;MSD")</f>
        <v/>
      </c>
      <c r="E3">
        <f>COUNTIFS(Products!$C$2:$C$339,A3,Products!$L$2:$L$339,"Generic or other")</f>
        <v/>
      </c>
      <c r="F3" s="5">
        <f>IF(E3=0,"",_xlfn.MINIFS(Products!$J$2:$J$339,Products!$C$2:$C$339,A3,Products!$L$2:$L$339,"Generic or other"))</f>
        <v/>
      </c>
      <c r="G3" s="6">
        <f>IF(F3="","",F3/C3-1)</f>
        <v/>
      </c>
    </row>
    <row r="4">
      <c r="A4" t="inlineStr">
        <is>
          <t>RALTEGRAVIR</t>
        </is>
      </c>
      <c r="B4" t="inlineStr">
        <is>
          <t>ISENTRESS 600MG F.C.TABLET</t>
        </is>
      </c>
      <c r="C4" s="5">
        <f>_xlfn.MINIFS(Products!$J$2:$J$339,Products!$C$2:$C$339,A4,Products!$L$2:$L$339,"MSD")</f>
        <v/>
      </c>
      <c r="D4">
        <f>COUNTIFS(Products!$C$2:$C$339,A4,Products!$L$2:$L$339,"&lt;&gt;MSD")</f>
        <v/>
      </c>
      <c r="E4">
        <f>COUNTIFS(Products!$C$2:$C$339,A4,Products!$L$2:$L$339,"Generic or other")</f>
        <v/>
      </c>
      <c r="F4" s="5">
        <f>IF(E4=0,"",_xlfn.MINIFS(Products!$J$2:$J$339,Products!$C$2:$C$339,A4,Products!$L$2:$L$339,"Generic or other"))</f>
        <v/>
      </c>
      <c r="G4" s="6">
        <f>IF(F4="","",F4/C4-1)</f>
        <v/>
      </c>
    </row>
    <row r="5">
      <c r="A5" t="inlineStr">
        <is>
          <t>BELZUTIFAN</t>
        </is>
      </c>
      <c r="B5" t="inlineStr">
        <is>
          <t>Welireg</t>
        </is>
      </c>
      <c r="C5" s="5">
        <f>_xlfn.MINIFS(Products!$J$2:$J$339,Products!$C$2:$C$339,A5,Products!$L$2:$L$339,"MSD")</f>
        <v/>
      </c>
      <c r="D5">
        <f>COUNTIFS(Products!$C$2:$C$339,A5,Products!$L$2:$L$339,"&lt;&gt;MSD")</f>
        <v/>
      </c>
      <c r="E5">
        <f>COUNTIFS(Products!$C$2:$C$339,A5,Products!$L$2:$L$339,"Generic or other")</f>
        <v/>
      </c>
      <c r="F5" s="5">
        <f>IF(E5=0,"",_xlfn.MINIFS(Products!$J$2:$J$339,Products!$C$2:$C$339,A5,Products!$L$2:$L$339,"Generic or other"))</f>
        <v/>
      </c>
      <c r="G5" s="6">
        <f>IF(F5="","",F5/C5-1)</f>
        <v/>
      </c>
    </row>
    <row r="6">
      <c r="A6" t="inlineStr">
        <is>
          <t>Hepatitis B vaccines</t>
        </is>
      </c>
      <c r="B6" t="inlineStr">
        <is>
          <t>RECOMBIVAX HB</t>
        </is>
      </c>
      <c r="C6" s="5">
        <f>_xlfn.MINIFS(Products!$J$2:$J$339,Products!$C$2:$C$339,A6,Products!$L$2:$L$339,"MSD")</f>
        <v/>
      </c>
      <c r="D6">
        <f>COUNTIFS(Products!$C$2:$C$339,A6,Products!$L$2:$L$339,"&lt;&gt;MSD")</f>
        <v/>
      </c>
      <c r="E6">
        <f>COUNTIFS(Products!$C$2:$C$339,A6,Products!$L$2:$L$339,"Generic or other")</f>
        <v/>
      </c>
      <c r="F6" s="5">
        <f>IF(E6=0,"",_xlfn.MINIFS(Products!$J$2:$J$339,Products!$C$2:$C$339,A6,Products!$L$2:$L$339,"Generic or other"))</f>
        <v/>
      </c>
      <c r="G6" s="6">
        <f>IF(F6="","",F6/C6-1)</f>
        <v/>
      </c>
    </row>
    <row r="7">
      <c r="A7" t="inlineStr">
        <is>
          <t>CEFTOLOZANE</t>
        </is>
      </c>
      <c r="B7" t="inlineStr">
        <is>
          <t>ZERBAXA Powder For Injection Vial</t>
        </is>
      </c>
      <c r="C7" s="5">
        <f>_xlfn.MINIFS(Products!$J$2:$J$339,Products!$C$2:$C$339,A7,Products!$L$2:$L$339,"MSD")</f>
        <v/>
      </c>
      <c r="D7">
        <f>COUNTIFS(Products!$C$2:$C$339,A7,Products!$L$2:$L$339,"&lt;&gt;MSD")</f>
        <v/>
      </c>
      <c r="E7">
        <f>COUNTIFS(Products!$C$2:$C$339,A7,Products!$L$2:$L$339,"Generic or other")</f>
        <v/>
      </c>
      <c r="F7" s="5">
        <f>IF(E7=0,"",_xlfn.MINIFS(Products!$J$2:$J$339,Products!$C$2:$C$339,A7,Products!$L$2:$L$339,"Generic or other"))</f>
        <v/>
      </c>
      <c r="G7" s="6">
        <f>IF(F7="","",F7/C7-1)</f>
        <v/>
      </c>
    </row>
    <row r="8">
      <c r="A8" t="inlineStr">
        <is>
          <t>DORAVIRINE</t>
        </is>
      </c>
      <c r="B8" t="inlineStr">
        <is>
          <t>Delstrigo; Pifeltro</t>
        </is>
      </c>
      <c r="C8" s="5">
        <f>_xlfn.MINIFS(Products!$J$2:$J$339,Products!$C$2:$C$339,A8,Products!$L$2:$L$339,"MSD")</f>
        <v/>
      </c>
      <c r="D8">
        <f>COUNTIFS(Products!$C$2:$C$339,A8,Products!$L$2:$L$339,"&lt;&gt;MSD")</f>
        <v/>
      </c>
      <c r="E8">
        <f>COUNTIFS(Products!$C$2:$C$339,A8,Products!$L$2:$L$339,"Generic or other")</f>
        <v/>
      </c>
      <c r="F8" s="5">
        <f>IF(E8=0,"",_xlfn.MINIFS(Products!$J$2:$J$339,Products!$C$2:$C$339,A8,Products!$L$2:$L$339,"Generic or other"))</f>
        <v/>
      </c>
      <c r="G8" s="6">
        <f>IF(F8="","",F8/C8-1)</f>
        <v/>
      </c>
    </row>
    <row r="9">
      <c r="A9" t="inlineStr">
        <is>
          <t>HPV vaccines</t>
        </is>
      </c>
      <c r="B9" t="inlineStr">
        <is>
          <t>Gardasil 9</t>
        </is>
      </c>
      <c r="C9" s="5">
        <f>_xlfn.MINIFS(Products!$J$2:$J$339,Products!$C$2:$C$339,A9,Products!$L$2:$L$339,"MSD")</f>
        <v/>
      </c>
      <c r="D9">
        <f>COUNTIFS(Products!$C$2:$C$339,A9,Products!$L$2:$L$339,"&lt;&gt;MSD")</f>
        <v/>
      </c>
      <c r="E9">
        <f>COUNTIFS(Products!$C$2:$C$339,A9,Products!$L$2:$L$339,"Generic or other")</f>
        <v/>
      </c>
      <c r="F9" s="5">
        <f>IF(E9=0,"",_xlfn.MINIFS(Products!$J$2:$J$339,Products!$C$2:$C$339,A9,Products!$L$2:$L$339,"Generic or other"))</f>
        <v/>
      </c>
      <c r="G9" s="6">
        <f>IF(F9="","",F9/C9-1)</f>
        <v/>
      </c>
    </row>
    <row r="10">
      <c r="A10" t="inlineStr">
        <is>
          <t>PEMBROLIZUMAB</t>
        </is>
      </c>
      <c r="B10" t="inlineStr">
        <is>
          <t>KEYTRUDA 25 mg/ml Concentrate For Solution For Infusion; Keytruda</t>
        </is>
      </c>
      <c r="C10" s="5">
        <f>_xlfn.MINIFS(Products!$J$2:$J$339,Products!$C$2:$C$339,A10,Products!$L$2:$L$339,"MSD")</f>
        <v/>
      </c>
      <c r="D10">
        <f>COUNTIFS(Products!$C$2:$C$339,A10,Products!$L$2:$L$339,"&lt;&gt;MSD")</f>
        <v/>
      </c>
      <c r="E10">
        <f>COUNTIFS(Products!$C$2:$C$339,A10,Products!$L$2:$L$339,"Generic or other")</f>
        <v/>
      </c>
      <c r="F10" s="5">
        <f>IF(E10=0,"",_xlfn.MINIFS(Products!$J$2:$J$339,Products!$C$2:$C$339,A10,Products!$L$2:$L$339,"Generic or other"))</f>
        <v/>
      </c>
      <c r="G10" s="6">
        <f>IF(F10="","",F10/C10-1)</f>
        <v/>
      </c>
    </row>
    <row r="11">
      <c r="A11" t="inlineStr">
        <is>
          <t>Measles, mumps and rubella vaccines</t>
        </is>
      </c>
      <c r="B11" t="inlineStr">
        <is>
          <t>M.M.R II 0.5ML VACCINE+ 0.7ML DILUENT</t>
        </is>
      </c>
      <c r="C11" s="5">
        <f>_xlfn.MINIFS(Products!$J$2:$J$339,Products!$C$2:$C$339,A11,Products!$L$2:$L$339,"MSD")</f>
        <v/>
      </c>
      <c r="D11">
        <f>COUNTIFS(Products!$C$2:$C$339,A11,Products!$L$2:$L$339,"&lt;&gt;MSD")</f>
        <v/>
      </c>
      <c r="E11">
        <f>COUNTIFS(Products!$C$2:$C$339,A11,Products!$L$2:$L$339,"Generic or other")</f>
        <v/>
      </c>
      <c r="F11" s="5">
        <f>IF(E11=0,"",_xlfn.MINIFS(Products!$J$2:$J$339,Products!$C$2:$C$339,A11,Products!$L$2:$L$339,"Generic or other"))</f>
        <v/>
      </c>
      <c r="G11" s="6">
        <f>IF(F11="","",F11/C11-1)</f>
        <v/>
      </c>
    </row>
    <row r="12">
      <c r="A12" t="inlineStr">
        <is>
          <t>LETERMOVIR</t>
        </is>
      </c>
      <c r="B12" t="inlineStr">
        <is>
          <t>PREVYMIS</t>
        </is>
      </c>
      <c r="C12" s="5">
        <f>_xlfn.MINIFS(Products!$J$2:$J$339,Products!$C$2:$C$339,A12,Products!$L$2:$L$339,"MSD")</f>
        <v/>
      </c>
      <c r="D12">
        <f>COUNTIFS(Products!$C$2:$C$339,A12,Products!$L$2:$L$339,"&lt;&gt;MSD")</f>
        <v/>
      </c>
      <c r="E12">
        <f>COUNTIFS(Products!$C$2:$C$339,A12,Products!$L$2:$L$339,"Generic or other")</f>
        <v/>
      </c>
      <c r="F12" s="5">
        <f>IF(E12=0,"",_xlfn.MINIFS(Products!$J$2:$J$339,Products!$C$2:$C$339,A12,Products!$L$2:$L$339,"Generic or other"))</f>
        <v/>
      </c>
      <c r="G12" s="6">
        <f>IF(F12="","",F12/C12-1)</f>
        <v/>
      </c>
    </row>
    <row r="13">
      <c r="A13" t="inlineStr">
        <is>
          <t>Pneumococcal vaccines</t>
        </is>
      </c>
      <c r="B13" t="inlineStr">
        <is>
          <t>Capvaxive; Pneumovax 23 Pneumococcal Vaccine Polyvalent; Vaxneuvance</t>
        </is>
      </c>
      <c r="C13" s="5">
        <f>_xlfn.MINIFS(Products!$J$2:$J$339,Products!$C$2:$C$339,A13,Products!$L$2:$L$339,"MSD")</f>
        <v/>
      </c>
      <c r="D13">
        <f>COUNTIFS(Products!$C$2:$C$339,A13,Products!$L$2:$L$339,"&lt;&gt;MSD")</f>
        <v/>
      </c>
      <c r="E13">
        <f>COUNTIFS(Products!$C$2:$C$339,A13,Products!$L$2:$L$339,"Generic or other")</f>
        <v/>
      </c>
      <c r="F13" s="5">
        <f>IF(E13=0,"",_xlfn.MINIFS(Products!$J$2:$J$339,Products!$C$2:$C$339,A13,Products!$L$2:$L$339,"Generic or other"))</f>
        <v/>
      </c>
      <c r="G13" s="6">
        <f>IF(F13="","",F13/C13-1)</f>
        <v/>
      </c>
    </row>
    <row r="14">
      <c r="A14" t="inlineStr">
        <is>
          <t>Rotavirus vaccines</t>
        </is>
      </c>
      <c r="B14" t="inlineStr">
        <is>
          <t>ROTATEQ ORAL VACCINE</t>
        </is>
      </c>
      <c r="C14" s="5">
        <f>_xlfn.MINIFS(Products!$J$2:$J$339,Products!$C$2:$C$339,A14,Products!$L$2:$L$339,"MSD")</f>
        <v/>
      </c>
      <c r="D14">
        <f>COUNTIFS(Products!$C$2:$C$339,A14,Products!$L$2:$L$339,"&lt;&gt;MSD")</f>
        <v/>
      </c>
      <c r="E14">
        <f>COUNTIFS(Products!$C$2:$C$339,A14,Products!$L$2:$L$339,"Generic or other")</f>
        <v/>
      </c>
      <c r="F14" s="5">
        <f>IF(E14=0,"",_xlfn.MINIFS(Products!$J$2:$J$339,Products!$C$2:$C$339,A14,Products!$L$2:$L$339,"Generic or other"))</f>
        <v/>
      </c>
      <c r="G14" s="6">
        <f>IF(F14="","",F14/C14-1)</f>
        <v/>
      </c>
    </row>
    <row r="15">
      <c r="A15" t="inlineStr">
        <is>
          <t>RELEBACTAM</t>
        </is>
      </c>
      <c r="B15" t="inlineStr">
        <is>
          <t>Recarbrio</t>
        </is>
      </c>
      <c r="C15" s="5">
        <f>_xlfn.MINIFS(Products!$J$2:$J$339,Products!$C$2:$C$339,A15,Products!$L$2:$L$339,"MSD")</f>
        <v/>
      </c>
      <c r="D15">
        <f>COUNTIFS(Products!$C$2:$C$339,A15,Products!$L$2:$L$339,"&lt;&gt;MSD")</f>
        <v/>
      </c>
      <c r="E15">
        <f>COUNTIFS(Products!$C$2:$C$339,A15,Products!$L$2:$L$339,"Generic or other")</f>
        <v/>
      </c>
      <c r="F15" s="5">
        <f>IF(E15=0,"",_xlfn.MINIFS(Products!$J$2:$J$339,Products!$C$2:$C$339,A15,Products!$L$2:$L$339,"Generic or other"))</f>
        <v/>
      </c>
      <c r="G15" s="6">
        <f>IF(F15="","",F15/C15-1)</f>
        <v/>
      </c>
    </row>
    <row r="16">
      <c r="A16" t="inlineStr">
        <is>
          <t>SOTATERCEPT</t>
        </is>
      </c>
      <c r="B16" t="inlineStr">
        <is>
          <t>Winrevair</t>
        </is>
      </c>
      <c r="C16" s="5">
        <f>_xlfn.MINIFS(Products!$J$2:$J$339,Products!$C$2:$C$339,A16,Products!$L$2:$L$339,"MSD")</f>
        <v/>
      </c>
      <c r="D16">
        <f>COUNTIFS(Products!$C$2:$C$339,A16,Products!$L$2:$L$339,"&lt;&gt;MSD")</f>
        <v/>
      </c>
      <c r="E16">
        <f>COUNTIFS(Products!$C$2:$C$339,A16,Products!$L$2:$L$339,"Generic or other")</f>
        <v/>
      </c>
      <c r="F16" s="5">
        <f>IF(E16=0,"",_xlfn.MINIFS(Products!$J$2:$J$339,Products!$C$2:$C$339,A16,Products!$L$2:$L$339,"Generic or other"))</f>
        <v/>
      </c>
      <c r="G16" s="6">
        <f>IF(F16="","",F16/C16-1)</f>
        <v/>
      </c>
    </row>
    <row r="17">
      <c r="A17" t="inlineStr">
        <is>
          <t>Varicella and zoster vaccines</t>
        </is>
      </c>
      <c r="B17" t="inlineStr">
        <is>
          <t>VARIVAX 1350 PFU VIAL</t>
        </is>
      </c>
      <c r="C17" s="5">
        <f>_xlfn.MINIFS(Products!$J$2:$J$339,Products!$C$2:$C$339,A17,Products!$L$2:$L$339,"MSD")</f>
        <v/>
      </c>
      <c r="D17">
        <f>COUNTIFS(Products!$C$2:$C$339,A17,Products!$L$2:$L$339,"&lt;&gt;MSD")</f>
        <v/>
      </c>
      <c r="E17">
        <f>COUNTIFS(Products!$C$2:$C$339,A17,Products!$L$2:$L$339,"Generic or other")</f>
        <v/>
      </c>
      <c r="F17" s="5">
        <f>IF(E17=0,"",_xlfn.MINIFS(Products!$J$2:$J$339,Products!$C$2:$C$339,A17,Products!$L$2:$L$339,"Generic or other"))</f>
        <v/>
      </c>
      <c r="G17" s="6">
        <f>IF(F17="","",F17/C17-1)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46" customWidth="1" min="4" max="4"/>
    <col width="14" customWidth="1" min="5" max="5"/>
    <col width="10" customWidth="1" min="6" max="6"/>
  </cols>
  <sheetData>
    <row r="1">
      <c r="A1" s="4" t="inlineStr">
        <is>
          <t>Brand</t>
        </is>
      </c>
      <c r="B1" s="4" t="inlineStr">
        <is>
          <t>US pack</t>
        </is>
      </c>
      <c r="C1" s="4" t="inlineStr">
        <is>
          <t>US NADAC per tablet USD</t>
        </is>
      </c>
      <c r="D1" s="4" t="inlineStr">
        <is>
          <t>Saudi product</t>
        </is>
      </c>
      <c r="E1" s="4" t="inlineStr">
        <is>
          <t>Saudi per tablet USD</t>
        </is>
      </c>
      <c r="F1" s="4" t="inlineStr">
        <is>
          <t>US / Saudi</t>
        </is>
      </c>
    </row>
    <row r="2">
      <c r="A2" t="inlineStr">
        <is>
          <t>JANUVIA</t>
        </is>
      </c>
      <c r="B2" t="inlineStr">
        <is>
          <t>JANUVIA 100 MG TABLET</t>
        </is>
      </c>
      <c r="C2" s="5" t="n">
        <v>10.55179</v>
      </c>
      <c r="D2" t="inlineStr">
        <is>
          <t>JANUVIA 100MG F.C. TABLETS (100mg, pack of 28)</t>
        </is>
      </c>
      <c r="E2" s="5">
        <f>_xlfn.MINIFS(Products!$K$2:$K$339,Products!$D$2:$D$339,"JANUVIA 100MG F.C. TABLETS",Products!$H$2:$H$339,28,Products!$L$2:$L$339,"MSD")</f>
        <v/>
      </c>
      <c r="F2" s="7">
        <f>C2/E2</f>
        <v/>
      </c>
    </row>
    <row r="3">
      <c r="A3" t="inlineStr">
        <is>
          <t>JANUMET</t>
        </is>
      </c>
      <c r="B3" t="inlineStr">
        <is>
          <t>JANUMET 50-1,000 MG TABLET</t>
        </is>
      </c>
      <c r="C3" s="5" t="n">
        <v>5.27929</v>
      </c>
      <c r="D3" t="inlineStr">
        <is>
          <t>JANUMET (1000,50mg, pack of 56)</t>
        </is>
      </c>
      <c r="E3" s="5">
        <f>_xlfn.MINIFS(Products!$K$2:$K$339,Products!$D$2:$D$339,"JANUMET",Products!$H$2:$H$339,56,Products!$L$2:$L$339,"MSD")</f>
        <v/>
      </c>
      <c r="F3" s="7">
        <f>C3/E3</f>
        <v/>
      </c>
    </row>
    <row r="4">
      <c r="A4" t="inlineStr">
        <is>
          <t>STEGLATRO</t>
        </is>
      </c>
      <c r="B4" t="inlineStr">
        <is>
          <t>STEGLATRO 15 MG TABLET</t>
        </is>
      </c>
      <c r="C4" s="5" t="n">
        <v>11.4425</v>
      </c>
      <c r="D4" t="inlineStr">
        <is>
          <t>no same-strength tablet in the SFDA list</t>
        </is>
      </c>
      <c r="E4" s="5" t="n"/>
    </row>
    <row r="5">
      <c r="A5" t="inlineStr">
        <is>
          <t>ISENTRESS</t>
        </is>
      </c>
      <c r="B5" t="inlineStr">
        <is>
          <t>ISENTRESS 400 MG TABLET</t>
        </is>
      </c>
      <c r="C5" s="5" t="n">
        <v>34.53888</v>
      </c>
      <c r="D5" t="inlineStr">
        <is>
          <t>no same-strength tablet in the SFDA list</t>
        </is>
      </c>
      <c r="E5" s="5" t="n"/>
    </row>
    <row r="6">
      <c r="A6" t="inlineStr">
        <is>
          <t>PIFELTRO</t>
        </is>
      </c>
      <c r="B6" t="inlineStr">
        <is>
          <t>PIFELTRO 100 MG TABLET</t>
        </is>
      </c>
      <c r="C6" s="5" t="n">
        <v>60.78687</v>
      </c>
      <c r="D6" t="inlineStr">
        <is>
          <t>Pifeltro (100mg, pack of 30)</t>
        </is>
      </c>
      <c r="E6" s="5">
        <f>_xlfn.MINIFS(Products!$K$2:$K$339,Products!$D$2:$D$339,"Pifeltro",Products!$H$2:$H$339,30,Products!$L$2:$L$339,"MSD")</f>
        <v/>
      </c>
      <c r="F6" s="7">
        <f>C6/E6</f>
        <v/>
      </c>
    </row>
    <row r="7">
      <c r="A7" t="inlineStr">
        <is>
          <t>BELSOMRA</t>
        </is>
      </c>
      <c r="B7" t="inlineStr">
        <is>
          <t>BELSOMRA 20 MG TABLET</t>
        </is>
      </c>
      <c r="C7" s="5" t="n">
        <v>15.20528</v>
      </c>
      <c r="D7" t="inlineStr">
        <is>
          <t>no same-strength tablet in the SFDA list</t>
        </is>
      </c>
      <c r="E7" s="5" t="n"/>
    </row>
    <row r="8">
      <c r="A8" t="inlineStr">
        <is>
          <t>DELSTRIGO</t>
        </is>
      </c>
      <c r="B8" t="inlineStr">
        <is>
          <t>DELSTRIGO 100-300-300 MG TAB</t>
        </is>
      </c>
      <c r="C8" s="5" t="n">
        <v>93.06068999999999</v>
      </c>
      <c r="D8" t="inlineStr">
        <is>
          <t>Delstrigo (100,300,245mg, pack of 30)</t>
        </is>
      </c>
      <c r="E8" s="5">
        <f>_xlfn.MINIFS(Products!$K$2:$K$339,Products!$D$2:$D$339,"Delstrigo",Products!$H$2:$H$339,30,Products!$L$2:$L$339,"MSD")</f>
        <v/>
      </c>
      <c r="F8" s="7">
        <f>C8/E8</f>
        <v/>
      </c>
    </row>
    <row r="9">
      <c r="A9" t="inlineStr">
        <is>
          <t>DIFICID</t>
        </is>
      </c>
      <c r="B9" t="inlineStr">
        <is>
          <t>DIFICID 200 MG TABLET</t>
        </is>
      </c>
      <c r="C9" s="5" t="n">
        <v>248.37854</v>
      </c>
      <c r="D9" t="inlineStr">
        <is>
          <t>no same-strength tablet in the SFDA list</t>
        </is>
      </c>
      <c r="E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8" customWidth="1" min="3" max="3"/>
    <col width="70" customWidth="1" min="4" max="4"/>
    <col width="70" customWidth="1" min="5" max="5"/>
  </cols>
  <sheetData>
    <row r="1">
      <c r="A1" s="4" t="inlineStr">
        <is>
          <t>Id</t>
        </is>
      </c>
      <c r="B1" s="4" t="inlineStr">
        <is>
          <t>Check</t>
        </is>
      </c>
      <c r="C1" s="4" t="inlineStr">
        <is>
          <t>Status</t>
        </is>
      </c>
      <c r="D1" s="4" t="inlineStr">
        <is>
          <t>Result</t>
        </is>
      </c>
      <c r="E1" s="4" t="inlineStr">
        <is>
          <t>Rule</t>
        </is>
      </c>
    </row>
    <row r="2">
      <c r="A2" t="inlineStr">
        <is>
          <t>V01</t>
        </is>
      </c>
      <c r="B2" t="inlineStr">
        <is>
          <t>List rows without an SFDA id are quarantined</t>
        </is>
      </c>
      <c r="C2" t="inlineStr">
        <is>
          <t>warn</t>
        </is>
      </c>
      <c r="D2" t="inlineStr">
        <is>
          <t>1 quarantined (Torixia)</t>
        </is>
      </c>
      <c r="E2" t="inlineStr">
        <is>
          <t>a row without a details link cannot be traced; it is kept aside, not loaded</t>
        </is>
      </c>
    </row>
    <row r="3">
      <c r="A3" t="inlineStr">
        <is>
          <t>V02</t>
        </is>
      </c>
      <c r="B3" t="inlineStr">
        <is>
          <t>Ids are unique after de-duplication</t>
        </is>
      </c>
      <c r="C3" t="inlineStr">
        <is>
          <t>pass</t>
        </is>
      </c>
      <c r="D3" t="inlineStr">
        <is>
          <t>8,207 rows, 8,207 ids</t>
        </is>
      </c>
      <c r="E3" t="inlineStr">
        <is>
          <t>one row per id</t>
        </is>
      </c>
    </row>
    <row r="4">
      <c r="A4" t="inlineStr">
        <is>
          <t>V03</t>
        </is>
      </c>
      <c r="B4" t="inlineStr">
        <is>
          <t>Share of the list's rows that are distinct products</t>
        </is>
      </c>
      <c r="C4" t="inlineStr">
        <is>
          <t>warn</t>
        </is>
      </c>
      <c r="D4" t="inlineStr">
        <is>
          <t>8,208 distinct of 9,173 rows read (89.5%); 459 pages of up to 20 (9,180)</t>
        </is>
      </c>
      <c r="E4" t="inlineStr">
        <is>
          <t>the list's order shifts between pages, so a page read later can repeat products and skip others; class products are filled in by searching each ingredient (V08)</t>
        </is>
      </c>
    </row>
    <row r="5">
      <c r="A5" t="inlineStr">
        <is>
          <t>V04</t>
        </is>
      </c>
      <c r="B5" t="inlineStr">
        <is>
          <t>Every product has a positive public price</t>
        </is>
      </c>
      <c r="C5" t="inlineStr">
        <is>
          <t>warn</t>
        </is>
      </c>
      <c r="D5" t="inlineStr">
        <is>
          <t>2 without</t>
        </is>
      </c>
      <c r="E5" t="inlineStr">
        <is>
          <t>price &gt; 0 SAR</t>
        </is>
      </c>
    </row>
    <row r="6">
      <c r="A6" t="inlineStr">
        <is>
          <t>V05</t>
        </is>
      </c>
      <c r="B6" t="inlineStr">
        <is>
          <t>Trade name, scientific name and dosage form are filled</t>
        </is>
      </c>
      <c r="C6" t="inlineStr">
        <is>
          <t>warn</t>
        </is>
      </c>
      <c r="D6" t="inlineStr">
        <is>
          <t>1 rows missing one</t>
        </is>
      </c>
      <c r="E6" t="inlineStr">
        <is>
          <t>0</t>
        </is>
      </c>
    </row>
    <row r="7">
      <c r="A7" t="inlineStr">
        <is>
          <t>V06</t>
        </is>
      </c>
      <c r="B7" t="inlineStr">
        <is>
          <t>Detail pages read for every followed product</t>
        </is>
      </c>
      <c r="C7" t="inlineStr">
        <is>
          <t>pass</t>
        </is>
      </c>
      <c r="D7" t="inlineStr">
        <is>
          <t>338 read, 0 failed</t>
        </is>
      </c>
      <c r="E7" t="inlineStr">
        <is>
          <t>0 failures</t>
        </is>
      </c>
    </row>
    <row r="8">
      <c r="A8" t="inlineStr">
        <is>
          <t>V07</t>
        </is>
      </c>
      <c r="B8" t="inlineStr">
        <is>
          <t>Followed products carry an ATC code</t>
        </is>
      </c>
      <c r="C8" t="inlineStr">
        <is>
          <t>pass</t>
        </is>
      </c>
      <c r="D8" t="inlineStr">
        <is>
          <t>2 without (OLPUNTRAMET, OLPUNTRAMET)</t>
        </is>
      </c>
      <c r="E8" t="inlineStr">
        <is>
          <t>at most 5% without</t>
        </is>
      </c>
    </row>
    <row r="9">
      <c r="A9" t="inlineStr">
        <is>
          <t>V08</t>
        </is>
      </c>
      <c r="B9" t="inlineStr">
        <is>
          <t>Products found only by the ingredient search, not in the list read</t>
        </is>
      </c>
      <c r="C9" t="inlineStr">
        <is>
          <t>info</t>
        </is>
      </c>
      <c r="D9" t="inlineStr">
        <is>
          <t>5</t>
        </is>
      </c>
      <c r="E9" t="inlineStr">
        <is>
          <t>the list read missed them (see V03)</t>
        </is>
      </c>
    </row>
    <row r="10">
      <c r="A10" t="inlineStr">
        <is>
          <t>V09</t>
        </is>
      </c>
      <c r="B10" t="inlineStr">
        <is>
          <t>Pack size known for followed products</t>
        </is>
      </c>
      <c r="C10" t="inlineStr">
        <is>
          <t>pass</t>
        </is>
      </c>
      <c r="D10" t="inlineStr">
        <is>
          <t>338 of 338</t>
        </is>
      </c>
      <c r="E10" t="inlineStr">
        <is>
          <t>at least 90%, needed for price per unit</t>
        </is>
      </c>
    </row>
    <row r="11">
      <c r="A11" t="inlineStr">
        <is>
          <t>V10</t>
        </is>
      </c>
      <c r="B11" t="inlineStr">
        <is>
          <t>List price equals the price read again with the details</t>
        </is>
      </c>
      <c r="C11" t="inlineStr">
        <is>
          <t>warn</t>
        </is>
      </c>
      <c r="D11" t="inlineStr">
        <is>
          <t>5 differ</t>
        </is>
      </c>
      <c r="E11" t="inlineStr">
        <is>
          <t>0 (the two reads were minutes apart)</t>
        </is>
      </c>
    </row>
    <row r="12">
      <c r="A12" t="inlineStr">
        <is>
          <t>V11</t>
        </is>
      </c>
      <c r="B12" t="inlineStr">
        <is>
          <t>Database holds every staged row</t>
        </is>
      </c>
      <c r="C12" t="inlineStr">
        <is>
          <t>pass</t>
        </is>
      </c>
      <c r="D12" t="inlineStr">
        <is>
          <t>list 8,207, details 338</t>
        </is>
      </c>
      <c r="E12" t="inlineStr">
        <is>
          <t>rows in = rows 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2026-10-18T20:18:45Z</dcterms:created>
  <dcterms:modified xsi:type="dcterms:W3CDTF">2026-10-18T20:18:45Z</dcterms:modified>
</cp:coreProperties>
</file>